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rtada" sheetId="1" state="visible" r:id="rId1"/>
    <sheet xmlns:r="http://schemas.openxmlformats.org/officeDocument/2006/relationships" name="Catálogo RNF" sheetId="2" state="visible" r:id="rId2"/>
    <sheet xmlns:r="http://schemas.openxmlformats.org/officeDocument/2006/relationships" name="Escenarios DA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Listas" sheetId="5" state="visible" r:id="rId5"/>
  </sheets>
  <definedNames>
    <definedName name="Z_DF784A8D_07E5_4915_AB99_B877A9643CB7_.wvu.FilterData" localSheetId="1" hidden="1">'Catálogo RNF'!$A$4:$S$36</definedName>
    <definedName name="_xlnm._FilterDatabase" localSheetId="1" hidden="1">'Catálogo RNF'!$A$4:$S$36</definedName>
    <definedName name="Z_320D8F56_7BA8_47E5_8AA7_4C6AB59574F6_.wvu.FilterData" localSheetId="2" hidden="1">'Escenarios DAS'!$A$4:$K$13</definedName>
    <definedName name="_xlnm._FilterDatabase" localSheetId="2" hidden="1">'Escenarios DAS'!$A$4:$K$13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b val="1"/>
      <color rgb="FFFFFFFF"/>
      <sz val="20"/>
    </font>
    <font>
      <name val="Calibri"/>
      <b val="1"/>
      <color rgb="FFFFFFFF"/>
      <sz val="16"/>
    </font>
    <font/>
    <font>
      <name val="Calibri"/>
      <i val="1"/>
      <color rgb="FF1F3864"/>
      <sz val="10"/>
    </font>
    <font>
      <name val="Calibri"/>
      <i val="1"/>
      <color rgb="FF1F3864"/>
      <sz val="11"/>
      <scheme val="minor"/>
    </font>
    <font>
      <name val="Calibri"/>
      <b val="1"/>
      <color rgb="FF1F3864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1F3864"/>
      <sz val="12"/>
      <scheme val="minor"/>
    </font>
    <font>
      <name val="Calibri"/>
      <b val="1"/>
      <color theme="1"/>
      <scheme val="minor"/>
    </font>
    <font>
      <name val="Calibri"/>
      <color theme="1"/>
      <sz val="10"/>
    </font>
    <font>
      <name val="Calibri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</fills>
  <borders count="17">
    <border/>
    <border>
      <left/>
      <top/>
      <bottom/>
    </border>
    <border>
      <left/>
      <top/>
    </border>
    <border>
      <top/>
    </border>
    <border>
      <top/>
      <bottom/>
    </border>
    <border>
      <right/>
      <top/>
    </border>
    <border>
      <left/>
      <bottom/>
    </border>
    <border>
      <bottom/>
    </border>
    <border>
      <right/>
      <top/>
      <bottom/>
    </border>
    <border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2" borderId="2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3" borderId="1" applyAlignment="1" pivotButton="0" quotePrefix="0" xfId="0">
      <alignment vertical="center"/>
    </xf>
    <xf numFmtId="0" fontId="5" fillId="3" borderId="1" pivotButton="0" quotePrefix="0" xfId="0"/>
    <xf numFmtId="0" fontId="6" fillId="4" borderId="10" pivotButton="0" quotePrefix="0" xfId="0"/>
    <xf numFmtId="0" fontId="7" fillId="5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vertical="top" wrapText="1"/>
    </xf>
    <xf numFmtId="0" fontId="3" fillId="0" borderId="12" pivotButton="0" quotePrefix="0" xfId="0"/>
    <xf numFmtId="0" fontId="3" fillId="0" borderId="13" pivotButton="0" quotePrefix="0" xfId="0"/>
    <xf numFmtId="0" fontId="8" fillId="0" borderId="10" pivotButton="0" quotePrefix="0" xfId="0"/>
    <xf numFmtId="0" fontId="7" fillId="5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vertical="top" wrapText="1"/>
    </xf>
    <xf numFmtId="0" fontId="11" fillId="0" borderId="10" applyAlignment="1" pivotButton="0" quotePrefix="0" xfId="0">
      <alignment vertical="top" wrapText="1"/>
    </xf>
    <xf numFmtId="0" fontId="10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vertical="top" wrapText="1"/>
    </xf>
    <xf numFmtId="0" fontId="12" fillId="0" borderId="0" pivotButton="0" quotePrefix="0" xfId="0"/>
    <xf numFmtId="0" fontId="10" fillId="3" borderId="10" applyAlignment="1" pivotButton="0" quotePrefix="0" xfId="0">
      <alignment horizontal="center" vertical="center" wrapText="1"/>
    </xf>
    <xf numFmtId="0" fontId="6" fillId="0" borderId="0" pivotButton="0" quotePrefix="0" xfId="0"/>
    <xf numFmtId="0" fontId="10" fillId="0" borderId="10" pivotButton="0" quotePrefix="0" xfId="0"/>
    <xf numFmtId="9" fontId="10" fillId="0" borderId="10" pivotButton="0" quotePrefix="0" xfId="0"/>
    <xf numFmtId="0" fontId="0" fillId="0" borderId="0" pivotButton="0" quotePrefix="0" xfId="0"/>
    <xf numFmtId="0" fontId="1" fillId="2" borderId="14" applyAlignment="1" pivotButton="0" quotePrefix="0" xfId="0">
      <alignment vertical="center"/>
    </xf>
    <xf numFmtId="0" fontId="5" fillId="3" borderId="14" pivotButton="0" quotePrefix="0" xfId="0"/>
    <xf numFmtId="0" fontId="8" fillId="0" borderId="10" applyAlignment="1" pivotButton="0" quotePrefix="0" xfId="0">
      <alignment vertical="top" wrapText="1"/>
    </xf>
    <xf numFmtId="0" fontId="0" fillId="0" borderId="12" pivotButton="0" quotePrefix="0" xfId="0"/>
    <xf numFmtId="0" fontId="0" fillId="0" borderId="13" pivotButton="0" quotePrefix="0" xfId="0"/>
    <xf numFmtId="0" fontId="2" fillId="2" borderId="14" applyAlignment="1" pivotButton="0" quotePrefix="0" xfId="0">
      <alignment vertical="center"/>
    </xf>
    <xf numFmtId="0" fontId="4" fillId="3" borderId="14" applyAlignment="1" pivotButton="0" quotePrefix="0" xfId="0">
      <alignment vertical="center"/>
    </xf>
  </cellXfs>
  <cellStyles count="1">
    <cellStyle name="Normal" xfId="0" builtinId="0"/>
  </cellStyles>
  <dxfs count="1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DEDED"/>
          <bgColor rgb="FFEDEDED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>
        <b val="1"/>
        <color rgb="FF833C0B"/>
      </font>
      <fill>
        <patternFill/>
      </fill>
      <border/>
    </dxf>
  </dxfs>
  <tableStyles count="2" defaultTableStyle="TableStyleMedium9" defaultPivotStyle="PivotStyleLight16">
    <tableStyle name="Escenarios DA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atálogo RNF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talogoRNF" displayName="CatalogoRNF" ref="A4:S36" headerRowCount="1">
  <tableColumns count="19">
    <tableColumn id="1" name="ID"/>
    <tableColumn id="2" name="Tipo"/>
    <tableColumn id="3" name="Característica ISO 25010"/>
    <tableColumn id="4" name="Subcaracterística"/>
    <tableColumn id="5" name="Nombre"/>
    <tableColumn id="6" name="Enunciado (el sistema debe…)"/>
    <tableColumn id="7" name="Métrica / indicador"/>
    <tableColumn id="8" name="Criterio de aceptación"/>
    <tableColumn id="9" name="MoSCoW"/>
    <tableColumn id="10" name="Alcance"/>
    <tableColumn id="11" name="HU / CA / CU"/>
    <tableColumn id="12" name="Meta o escenario DAS"/>
    <tableColumn id="13" name="Caso de prueba"/>
    <tableColumn id="14" name="Evidencia"/>
    <tableColumn id="15" name="Estado verificación"/>
    <tableColumn id="16" name="Responsable"/>
    <tableColumn id="17" name="Fuente"/>
    <tableColumn id="18" name="Alias (otros docs)"/>
    <tableColumn id="19" name="Observación"/>
  </tableColumns>
  <tableStyleInfo name="Catálogo RNF-style" showFirstColumn="1" showLastColumn="1" showRowStripes="1" showColumnStripes="0"/>
</table>
</file>

<file path=xl/tables/table2.xml><?xml version="1.0" encoding="utf-8"?>
<table xmlns="http://schemas.openxmlformats.org/spreadsheetml/2006/main" id="2" name="Escenarios" displayName="Escenarios" ref="A4:K13" headerRowCount="1">
  <tableColumns count="11">
    <tableColumn id="1" name="ID"/>
    <tableColumn id="2" name="Atributo"/>
    <tableColumn id="3" name="Fuente del estímulo"/>
    <tableColumn id="4" name="Estímulo"/>
    <tableColumn id="5" name="Artefacto"/>
    <tableColumn id="6" name="Ambiente"/>
    <tableColumn id="7" name="Respuesta"/>
    <tableColumn id="8" name="Medida"/>
    <tableColumn id="9" name="RNF trazados"/>
    <tableColumn id="10" name="Estado"/>
    <tableColumn id="11" name="Observación"/>
  </tableColumns>
  <tableStyleInfo name="Escenarios DA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33" min="1" max="1"/>
    <col width="30" customWidth="1" style="33" min="2" max="5"/>
    <col width="8.710000000000001" customWidth="1" style="33" min="6" max="26"/>
  </cols>
  <sheetData>
    <row r="1"/>
    <row r="2">
      <c r="B2" s="34" t="inlineStr">
        <is>
          <t>D-PAY 3.0 — Catálogo de Requerimientos No Funcionales</t>
        </is>
      </c>
    </row>
    <row r="3"/>
    <row r="4">
      <c r="B4" s="35" t="inlineStr">
        <is>
          <t>Clasificación ISO/IEC 25010 · el DAS 1.0.2 manda · DoD/repo/DOC-07 como alias y evidencia</t>
        </is>
      </c>
    </row>
    <row r="5"/>
    <row r="6" ht="18" customHeight="1" s="33">
      <c r="B6" s="12" t="inlineStr">
        <is>
          <t>Proyecto</t>
        </is>
      </c>
      <c r="C6" s="36" t="inlineStr">
        <is>
          <t>D-PAY 3.0 — POS móvil multi-pasarela (DTemite)</t>
        </is>
      </c>
      <c r="D6" s="37" t="n"/>
      <c r="E6" s="38" t="n"/>
    </row>
    <row r="7" ht="18" customHeight="1" s="33">
      <c r="B7" s="12" t="inlineStr">
        <is>
          <t>Asignatura</t>
        </is>
      </c>
      <c r="C7" s="36" t="inlineStr">
        <is>
          <t>Capstone PTY4614 / APT122 — Duoc UC 2026-2</t>
        </is>
      </c>
      <c r="D7" s="37" t="n"/>
      <c r="E7" s="38" t="n"/>
    </row>
    <row r="8" ht="18" customHeight="1" s="33">
      <c r="B8" s="12" t="inlineStr">
        <is>
          <t>Documento</t>
        </is>
      </c>
      <c r="C8" s="36" t="inlineStr">
        <is>
          <t>Catálogo RNF (anexo del DAS §Metas y §Escenarios)</t>
        </is>
      </c>
      <c r="D8" s="37" t="n"/>
      <c r="E8" s="38" t="n"/>
    </row>
    <row r="9" ht="18" customHeight="1" s="33">
      <c r="B9" s="12" t="inlineStr">
        <is>
          <t>Versión</t>
        </is>
      </c>
      <c r="C9" s="36" t="inlineStr">
        <is>
          <t>1.0.2</t>
        </is>
      </c>
      <c r="D9" s="37" t="n"/>
      <c r="E9" s="38" t="n"/>
    </row>
    <row r="10" ht="18" customHeight="1" s="33">
      <c r="B10" s="12" t="inlineStr">
        <is>
          <t>Fecha</t>
        </is>
      </c>
      <c r="C10" s="36" t="inlineStr">
        <is>
          <t>2026-10-16</t>
        </is>
      </c>
      <c r="D10" s="37" t="n"/>
      <c r="E10" s="38" t="n"/>
    </row>
    <row r="11" ht="18" customHeight="1" s="33">
      <c r="B11" s="12" t="inlineStr">
        <is>
          <t>Elaborado por</t>
        </is>
      </c>
      <c r="C11" s="36" t="inlineStr">
        <is>
          <t>Reinhartd Munzenmayer (QA)</t>
        </is>
      </c>
      <c r="D11" s="37" t="n"/>
      <c r="E11" s="38" t="n"/>
    </row>
    <row r="12" ht="18" customHeight="1" s="33">
      <c r="B12" s="12" t="inlineStr">
        <is>
          <t>Revisa</t>
        </is>
      </c>
      <c r="C12" s="36" t="inlineStr">
        <is>
          <t>Diego Madrid (arquitectura) · Pablo Gutiérrez (Scrum Master)</t>
        </is>
      </c>
      <c r="D12" s="37" t="n"/>
      <c r="E12" s="38" t="n"/>
    </row>
    <row r="13" ht="18" customHeight="1" s="33">
      <c r="B13" s="12" t="inlineStr">
        <is>
          <t>Aprueba</t>
        </is>
      </c>
      <c r="C13" s="36" t="inlineStr">
        <is>
          <t>José Robles Rocha (Product Owner, DTemite)</t>
        </is>
      </c>
      <c r="D13" s="37" t="n"/>
      <c r="E13" s="38" t="n"/>
    </row>
    <row r="14" ht="30" customHeight="1" s="33">
      <c r="B14" s="12" t="inlineStr">
        <is>
          <t>Fuente de arquitectura</t>
        </is>
      </c>
      <c r="C14" s="36" t="inlineStr">
        <is>
          <t>DAS 1.0.2 . IDs RNF-xx.y: desglose de este catálogo. DoD v1.0, repo y Fase 1 = alias.</t>
        </is>
      </c>
      <c r="D14" s="37" t="n"/>
      <c r="E14" s="38" t="n"/>
    </row>
    <row r="15" ht="30" customHeight="1" s="33">
      <c r="B15" s="12" t="inlineStr">
        <is>
          <t>Línea base</t>
        </is>
      </c>
      <c r="C15" s="36" t="inlineStr">
        <is>
          <t>D-PAY 2.0: cobro Kozen + TUU en producción, operado por Diego Madrid. D-PAY 3.0 lo extiende con Webpay en celular genérico.</t>
        </is>
      </c>
      <c r="D15" s="37" t="n"/>
      <c r="E15" s="38" t="n"/>
    </row>
    <row r="16" ht="30" customHeight="1" s="33">
      <c r="B16" s="12" t="inlineStr">
        <is>
          <t>Restricciones</t>
        </is>
      </c>
      <c r="C16" s="36" t="inlineStr">
        <is>
          <t>Sin Docker · sin NFC/SoftPOS · sin PAN/CVV en dispositivo · monolito por capas</t>
        </is>
      </c>
      <c r="D16" s="37" t="n"/>
      <c r="E16" s="38" t="n"/>
    </row>
    <row r="17"/>
    <row r="18" ht="15.75" customHeight="1" s="33"/>
    <row r="19" ht="15.75" customHeight="1" s="33">
      <c r="B19" s="21" t="inlineStr">
        <is>
          <t>Hojas del libro</t>
        </is>
      </c>
    </row>
    <row r="20" ht="15.75" customHeight="1" s="33">
      <c r="B20" s="22" t="inlineStr">
        <is>
          <t>Catálogo RNF</t>
        </is>
      </c>
      <c r="C20" s="23" t="inlineStr">
        <is>
          <t>Requerimientos con tipo, ISO 25010, métrica, criterio, alcance, evidencia y estado.</t>
        </is>
      </c>
    </row>
    <row r="21" ht="15.75" customHeight="1" s="33">
      <c r="B21" s="22" t="inlineStr">
        <is>
          <t>Escenarios DAS</t>
        </is>
      </c>
      <c r="C21" s="23" t="inlineStr">
        <is>
          <t>Escenarios de calidad (fuente, estímulo, artefacto, ambiente, respuesta, medida).</t>
        </is>
      </c>
    </row>
    <row r="22" ht="15.75" customHeight="1" s="33">
      <c r="B22" s="22" t="inlineStr">
        <is>
          <t>Contraste</t>
        </is>
      </c>
      <c r="C22" s="23" t="inlineStr">
        <is>
          <t>Diferencias DAS (manda) ↔ DoD/repo/Fase 1. Acción = alinear el catálogo; el DAS no se edita.</t>
        </is>
      </c>
    </row>
    <row r="23" ht="15.75" customHeight="1" s="33">
      <c r="B23" s="22" t="inlineStr">
        <is>
          <t>Ambigüedades</t>
        </is>
      </c>
      <c r="C23" s="23" t="inlineStr">
        <is>
          <t>Revisión estática (formato planilla 1.3.4 de Calidad de Software).</t>
        </is>
      </c>
    </row>
    <row r="24" ht="15.75" customHeight="1" s="33">
      <c r="B24" s="22" t="inlineStr">
        <is>
          <t>Rúbrica Fase 2</t>
        </is>
      </c>
      <c r="C24" s="23" t="inlineStr">
        <is>
          <t>Aporte del catálogo a cada indicador de evaluación.</t>
        </is>
      </c>
    </row>
    <row r="25" ht="15.75" customHeight="1" s="33">
      <c r="B25" s="22" t="inlineStr">
        <is>
          <t>Control</t>
        </is>
      </c>
      <c r="C25" s="23" t="inlineStr">
        <is>
          <t>Tablero de conteos por tipo y estado.</t>
        </is>
      </c>
    </row>
    <row r="26" ht="15.75" customHeight="1" s="33">
      <c r="B26" s="22" t="inlineStr">
        <is>
          <t>Listas</t>
        </is>
      </c>
      <c r="C26" s="23" t="inlineStr">
        <is>
          <t>Valores permitidos para las validaciones.</t>
        </is>
      </c>
    </row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</sheetData>
  <mergeCells count="20">
    <mergeCell ref="C16:E16"/>
    <mergeCell ref="C22:E22"/>
    <mergeCell ref="C9:E9"/>
    <mergeCell ref="C21:E21"/>
    <mergeCell ref="B2:E3"/>
    <mergeCell ref="C12:E12"/>
    <mergeCell ref="C11:E11"/>
    <mergeCell ref="B4:E4"/>
    <mergeCell ref="C23:E23"/>
    <mergeCell ref="C8:E8"/>
    <mergeCell ref="C7:E7"/>
    <mergeCell ref="C13:E13"/>
    <mergeCell ref="C15:E15"/>
    <mergeCell ref="C6:E6"/>
    <mergeCell ref="C24:E24"/>
    <mergeCell ref="C14:E14"/>
    <mergeCell ref="C26:E26"/>
    <mergeCell ref="C20:E20"/>
    <mergeCell ref="C25:E25"/>
    <mergeCell ref="C10:E10"/>
  </mergeCells>
  <printOptions horizontalCentered="1"/>
  <pageMargins left="0.75" right="0.75" top="1" bottom="1" header="0" footer="0"/>
  <pageSetup orientation="landscape" fitToHeight="0"/>
  <headerFooter>
    <oddHeader/>
    <oddFooter>&amp;CD-PAY 3.0 · Catálogo RNF · Página &amp;P de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11" customWidth="1" style="33" min="1" max="1"/>
    <col width="15" customWidth="1" style="33" min="2" max="2"/>
    <col width="22" customWidth="1" style="33" min="3" max="3"/>
    <col width="20" customWidth="1" style="33" min="4" max="4"/>
    <col width="24" customWidth="1" style="33" min="5" max="5"/>
    <col width="48" customWidth="1" style="33" min="6" max="6"/>
    <col width="30" customWidth="1" style="33" min="7" max="7"/>
    <col width="36" customWidth="1" style="33" min="8" max="8"/>
    <col width="12" customWidth="1" style="33" min="9" max="9"/>
    <col width="18" customWidth="1" style="33" min="10" max="11"/>
    <col width="22" customWidth="1" style="33" min="12" max="12"/>
    <col width="20" customWidth="1" style="33" min="13" max="13"/>
    <col width="32" customWidth="1" style="33" min="14" max="14"/>
    <col width="15" customWidth="1" style="33" min="15" max="15"/>
    <col width="18" customWidth="1" style="33" min="16" max="16"/>
    <col width="16" customWidth="1" style="33" min="17" max="17"/>
    <col width="26" customWidth="1" style="33" min="18" max="18"/>
    <col width="48" customWidth="1" style="33" min="19" max="19"/>
    <col width="8.710000000000001" customWidth="1" style="33" min="20" max="26"/>
  </cols>
  <sheetData>
    <row r="1" ht="30" customHeight="1" s="33">
      <c r="A1" s="39" t="inlineStr">
        <is>
          <t>Catálogo RNF — D-PAY 3.0</t>
        </is>
      </c>
    </row>
    <row r="2" ht="19.5" customHeight="1" s="33">
      <c r="A2" s="40" t="inlineStr">
        <is>
          <t>ISO/IEC 25010 · DAS 1.0.2 manda · versión 1.0.1 · 2026-10-12</t>
        </is>
      </c>
    </row>
    <row r="4" ht="31.5" customHeight="1" s="33">
      <c r="A4" s="18" t="inlineStr">
        <is>
          <t>ID</t>
        </is>
      </c>
      <c r="B4" s="18" t="inlineStr">
        <is>
          <t>Tipo</t>
        </is>
      </c>
      <c r="C4" s="18" t="inlineStr">
        <is>
          <t>Característica ISO 25010</t>
        </is>
      </c>
      <c r="D4" s="18" t="inlineStr">
        <is>
          <t>Subcaracterística</t>
        </is>
      </c>
      <c r="E4" s="18" t="inlineStr">
        <is>
          <t>Nombre</t>
        </is>
      </c>
      <c r="F4" s="18" t="inlineStr">
        <is>
          <t>Enunciado (el sistema debe…)</t>
        </is>
      </c>
      <c r="G4" s="18" t="inlineStr">
        <is>
          <t>Métrica / indicador</t>
        </is>
      </c>
      <c r="H4" s="18" t="inlineStr">
        <is>
          <t>Criterio de aceptación</t>
        </is>
      </c>
      <c r="I4" s="18" t="inlineStr">
        <is>
          <t>MoSCoW</t>
        </is>
      </c>
      <c r="J4" s="18" t="inlineStr">
        <is>
          <t>Alcance</t>
        </is>
      </c>
      <c r="K4" s="18" t="inlineStr">
        <is>
          <t>HU / CA / CU</t>
        </is>
      </c>
      <c r="L4" s="18" t="inlineStr">
        <is>
          <t>Meta o escenario DAS</t>
        </is>
      </c>
      <c r="M4" s="18" t="inlineStr">
        <is>
          <t>Caso de prueba</t>
        </is>
      </c>
      <c r="N4" s="18" t="inlineStr">
        <is>
          <t>Evidencia</t>
        </is>
      </c>
      <c r="O4" s="18" t="inlineStr">
        <is>
          <t>Estado verificación</t>
        </is>
      </c>
      <c r="P4" s="18" t="inlineStr">
        <is>
          <t>Responsable</t>
        </is>
      </c>
      <c r="Q4" s="18" t="inlineStr">
        <is>
          <t>Fuente</t>
        </is>
      </c>
      <c r="R4" s="18" t="inlineStr">
        <is>
          <t>Alias (otros docs)</t>
        </is>
      </c>
      <c r="S4" s="18" t="inlineStr">
        <is>
          <t>Observación</t>
        </is>
      </c>
    </row>
    <row r="5" ht="75" customHeight="1" s="33">
      <c r="A5" s="26" t="inlineStr">
        <is>
          <t>RNF-01.1</t>
        </is>
      </c>
      <c r="B5" s="27" t="inlineStr">
        <is>
          <t>rendimiento</t>
        </is>
      </c>
      <c r="C5" s="27" t="inlineStr">
        <is>
          <t>Eficiencia de desempeño</t>
        </is>
      </c>
      <c r="D5" s="27" t="inlineStr">
        <is>
          <t>Comportamiento temporal</t>
        </is>
      </c>
      <c r="E5" s="27" t="inlineStr">
        <is>
          <t>Login rápido</t>
        </is>
      </c>
      <c r="F5" s="27" t="inlineStr">
        <is>
          <t>El sistema debe completar el inicio de sesión del cajero en red móvil 4G en menos de 3 segundos.</t>
        </is>
      </c>
      <c r="G5" s="27" t="inlineStr">
        <is>
          <t>Segundos desde «Ingresar» hasta la pantalla principal de venta.</t>
        </is>
      </c>
      <c r="H5" s="27" t="inlineStr">
        <is>
          <t>Peor muestra &lt; 3 s en 4G (5 muestras).</t>
        </is>
      </c>
      <c r="I5" s="26" t="inlineStr">
        <is>
          <t>Must</t>
        </is>
      </c>
      <c r="J5" s="26" t="inlineStr">
        <is>
          <t>Ambos</t>
        </is>
      </c>
      <c r="K5" s="27" t="inlineStr">
        <is>
          <t>CU-01</t>
        </is>
      </c>
      <c r="L5" s="27" t="inlineStr">
        <is>
          <t>Meta Desempeño</t>
        </is>
      </c>
      <c r="M5" s="27" t="inlineStr">
        <is>
          <t>MTC login (DOC-07 03_Rendimiento)</t>
        </is>
      </c>
      <c r="N5" s="27" t="inlineStr">
        <is>
          <t>metricas-celular-android-20260927.txt</t>
        </is>
      </c>
      <c r="O5" s="26" t="inlineStr">
        <is>
          <t>OK</t>
        </is>
      </c>
      <c r="P5" s="27" t="inlineStr">
        <is>
          <t>Reinhartd Munzenmayer</t>
        </is>
      </c>
      <c r="Q5" s="27" t="inlineStr">
        <is>
          <t>DAS 1.0.2 Meta Desempeño</t>
        </is>
      </c>
      <c r="R5" s="27" t="inlineStr">
        <is>
          <t>DoD v1.0 · Repo RNF-01.1 · Fase 1 RNF-01.1</t>
        </is>
      </c>
      <c r="S5" s="27" t="inlineStr">
        <is>
          <t>2,5 s en 4G primer login (27/09) en celular Android. Una muestra por escenario: completar 5 para cumplir el criterio.</t>
        </is>
      </c>
    </row>
    <row r="6" ht="75" customHeight="1" s="33">
      <c r="A6" s="26" t="inlineStr">
        <is>
          <t>RNF-01.2</t>
        </is>
      </c>
      <c r="B6" s="27" t="inlineStr">
        <is>
          <t>rendimiento</t>
        </is>
      </c>
      <c r="C6" s="27" t="inlineStr">
        <is>
          <t>Eficiencia de desempeño</t>
        </is>
      </c>
      <c r="D6" s="27" t="inlineStr">
        <is>
          <t>Comportamiento temporal</t>
        </is>
      </c>
      <c r="E6" s="27" t="inlineStr">
        <is>
          <t>Inicio de cobro TUU</t>
        </is>
      </c>
      <c r="F6" s="27" t="inlineStr">
        <is>
          <t>En terminal Kozen, el sistema debe lanzar el Intent de la app TUU en menos de 2 segundos tras confirmar el monto.</t>
        </is>
      </c>
      <c r="G6" s="27" t="inlineStr">
        <is>
          <t>Segundos desde «Confirmar monto» hasta la pantalla TUU.</t>
        </is>
      </c>
      <c r="H6" s="27" t="inlineStr">
        <is>
          <t>&lt; 2 s en P8 Neo con TUU instalada.</t>
        </is>
      </c>
      <c r="I6" s="26" t="inlineStr">
        <is>
          <t>Must</t>
        </is>
      </c>
      <c r="J6" s="26" t="inlineStr">
        <is>
          <t>D-PAY 2.0 Kozen</t>
        </is>
      </c>
      <c r="K6" s="27" t="inlineStr">
        <is>
          <t>HU-02 · HU-06 · CU-03</t>
        </is>
      </c>
      <c r="L6" s="27" t="inlineStr">
        <is>
          <t>Fuera del DAS (umbral &lt; 2 s no figura; CU-03 / Hardware TUU sí)</t>
        </is>
      </c>
      <c r="M6" s="27" t="inlineStr">
        <is>
          <t>TC-064 regresión TUU</t>
        </is>
      </c>
      <c r="N6" s="27" t="inlineStr">
        <is>
          <t>COD-08-HU06-tuu-kozen/capturas/TC-RG-01*; 07_Plan_de_Pruebas/05_Evidencias_por_sprint/Sprint_03/capturas_20261013/; jest-hu06Tuu-factory-deteccion-output-20261011.txt</t>
        </is>
      </c>
      <c r="O6" s="26" t="inlineStr">
        <is>
          <t>Parcial</t>
        </is>
      </c>
      <c r="P6" s="27" t="inlineStr">
        <is>
          <t>Diego Madrid</t>
        </is>
      </c>
      <c r="Q6" s="27" t="inlineStr">
        <is>
          <t>DoD v1.0 (fuera del DAS)</t>
        </is>
      </c>
      <c r="R6" s="27" t="inlineStr">
        <is>
          <t>Repo RNF-01.2</t>
        </is>
      </c>
      <c r="S6" s="27" t="inlineStr">
        <is>
          <t>Parcial 13/10/2026: Diego Madrid, Kozen P8 Neo. Débito $2.000 aprobado; crédito $5.000 cancelado (no declined emisor). Falta crédito aprobado. Jest 17/17 (11/10).</t>
        </is>
      </c>
    </row>
    <row r="7" ht="75" customHeight="1" s="33">
      <c r="A7" s="26" t="inlineStr">
        <is>
          <t>RNF-01.3</t>
        </is>
      </c>
      <c r="B7" s="27" t="inlineStr">
        <is>
          <t>rendimiento</t>
        </is>
      </c>
      <c r="C7" s="27" t="inlineStr">
        <is>
          <t>Eficiencia de desempeño</t>
        </is>
      </c>
      <c r="D7" s="27" t="inlineStr">
        <is>
          <t>Comportamiento temporal</t>
        </is>
      </c>
      <c r="E7" s="27" t="inlineStr">
        <is>
          <t>Carga de catálogo</t>
        </is>
      </c>
      <c r="F7" s="27" t="inlineStr">
        <is>
          <t>El sistema debe cargar un catálogo de hasta 500 productos en menos de 5 segundos.</t>
        </is>
      </c>
      <c r="G7" s="27" t="inlineStr">
        <is>
          <t>Segundos hasta lista de productos navegable.</t>
        </is>
      </c>
      <c r="H7" s="27" t="inlineStr">
        <is>
          <t>&lt; 5 s con 500 productos.</t>
        </is>
      </c>
      <c r="I7" s="26" t="inlineStr">
        <is>
          <t>Should</t>
        </is>
      </c>
      <c r="J7" s="26" t="inlineStr">
        <is>
          <t>Ambos</t>
        </is>
      </c>
      <c r="K7" s="27" t="inlineStr">
        <is>
          <t>CU-02</t>
        </is>
      </c>
      <c r="L7" s="27" t="inlineStr">
        <is>
          <t>Meta Desempeño («catálogo usable en terreno»; 500 / &lt; 5 s no figuran en el DAS)</t>
        </is>
      </c>
      <c r="M7" s="27" t="inlineStr">
        <is>
          <t>MTC catálogo</t>
        </is>
      </c>
      <c r="N7" s="27" t="inlineStr">
        <is>
          <t>metricas-celular-android-20260927.txt</t>
        </is>
      </c>
      <c r="O7" s="26" t="inlineStr">
        <is>
          <t>Parcial</t>
        </is>
      </c>
      <c r="P7" s="27" t="inlineStr">
        <is>
          <t>Reinhartd Munzenmayer</t>
        </is>
      </c>
      <c r="Q7" s="27" t="inlineStr">
        <is>
          <t>DoD v1.0 (umbral fuera del DAS)</t>
        </is>
      </c>
      <c r="R7" s="27" t="inlineStr">
        <is>
          <t>Repo RNF-01.3</t>
        </is>
      </c>
      <c r="S7" s="27" t="inlineStr">
        <is>
          <t>1,0 s medido en celular Android (27/09); no consta catálogo de 500 productos. El umbral 500 / &lt; 5 s es del DoD, no del DAS.</t>
        </is>
      </c>
    </row>
    <row r="8" ht="75" customHeight="1" s="33">
      <c r="A8" s="26" t="inlineStr">
        <is>
          <t>RNF-01.4</t>
        </is>
      </c>
      <c r="B8" s="27" t="inlineStr">
        <is>
          <t>rendimiento</t>
        </is>
      </c>
      <c r="C8" s="27" t="inlineStr">
        <is>
          <t>Eficiencia de desempeño</t>
        </is>
      </c>
      <c r="D8" s="27" t="inlineStr">
        <is>
          <t>Comportamiento temporal</t>
        </is>
      </c>
      <c r="E8" s="27" t="inlineStr">
        <is>
          <t>Emisión de DTE</t>
        </is>
      </c>
      <c r="F8" s="27" t="inlineStr">
        <is>
          <t>El sistema debe emitir el DTE, incluida la firma, en menos de 15 segundos desde la confirmación de la venta.</t>
        </is>
      </c>
      <c r="G8" s="27" t="inlineStr">
        <is>
          <t>Segundos desde confirmar venta hasta folio asignado.</t>
        </is>
      </c>
      <c r="H8" s="27" t="inlineStr">
        <is>
          <t>Promedio de 5 muestras ≤ 15 s (EC-RNF-02).</t>
        </is>
      </c>
      <c r="I8" s="26" t="inlineStr">
        <is>
          <t>Should</t>
        </is>
      </c>
      <c r="J8" s="26" t="inlineStr">
        <is>
          <t>Ambos</t>
        </is>
      </c>
      <c r="K8" s="27" t="inlineStr">
        <is>
          <t>CU-04</t>
        </is>
      </c>
      <c r="L8" s="27" t="inlineStr">
        <is>
          <t>EC-RNF-02</t>
        </is>
      </c>
      <c r="M8" s="27" t="inlineStr">
        <is>
          <t>MTC DTE (Sprint 3)</t>
        </is>
      </c>
      <c r="N8" s="27" t="inlineStr">
        <is>
          <t>—</t>
        </is>
      </c>
      <c r="O8" s="26" t="inlineStr">
        <is>
          <t>No ejecutado</t>
        </is>
      </c>
      <c r="P8" s="27" t="inlineStr">
        <is>
          <t>Reinhartd Munzenmayer</t>
        </is>
      </c>
      <c r="Q8" s="27" t="inlineStr">
        <is>
          <t>DAS 1.0.2 EC-RNF-02</t>
        </is>
      </c>
      <c r="R8" s="27" t="inlineStr">
        <is>
          <t>DoD v1.0 · Repo RNF-01.4 · (Fase 1 usaba RNF-01.4 para Webpay)</t>
        </is>
      </c>
      <c r="S8" s="27" t="inlineStr">
        <is>
          <t xml:space="preserve">Pendiente boleta tipo 39 estable en Sprint 3. </t>
        </is>
      </c>
    </row>
    <row r="9" ht="75" customHeight="1" s="33">
      <c r="A9" s="26" t="inlineStr">
        <is>
          <t>RNF-01.5</t>
        </is>
      </c>
      <c r="B9" s="27" t="inlineStr">
        <is>
          <t>rendimiento</t>
        </is>
      </c>
      <c r="C9" s="27" t="inlineStr">
        <is>
          <t>Eficiencia de desempeño</t>
        </is>
      </c>
      <c r="D9" s="27" t="inlineStr">
        <is>
          <t>Comportamiento temporal</t>
        </is>
      </c>
      <c r="E9" s="27" t="inlineStr">
        <is>
          <t>Apertura checkout Webpay</t>
        </is>
      </c>
      <c r="F9" s="27" t="inlineStr">
        <is>
          <t>Con el proxy en la red local, el sistema debe dejar abierto el checkout Webpay en menos de 10 segundos tras confirmar la tarjeta.</t>
        </is>
      </c>
      <c r="G9" s="27" t="inlineStr">
        <is>
          <t>Segundos desde escanear QR / confirmar hasta formulario Transbank.</t>
        </is>
      </c>
      <c r="H9" s="27" t="inlineStr">
        <is>
          <t>&lt; 10 s, 5 muestras en Wi-Fi LAN.</t>
        </is>
      </c>
      <c r="I9" s="26" t="inlineStr">
        <is>
          <t>Should</t>
        </is>
      </c>
      <c r="J9" s="26" t="inlineStr">
        <is>
          <t>D-PAY 3.0 Capstone</t>
        </is>
      </c>
      <c r="K9" s="27" t="inlineStr">
        <is>
          <t>HU-03 · CA-WP.1</t>
        </is>
      </c>
      <c r="L9" s="27" t="inlineStr">
        <is>
          <t>Fuera del DAS</t>
        </is>
      </c>
      <c r="M9" s="27" t="inlineStr">
        <is>
          <t>MTC-13</t>
        </is>
      </c>
      <c r="N9" s="27" t="inlineStr">
        <is>
          <t>metricas-celular-android-webpay-20261004.txt</t>
        </is>
      </c>
      <c r="O9" s="26" t="inlineStr">
        <is>
          <t>Parcial</t>
        </is>
      </c>
      <c r="P9" s="27" t="inlineStr">
        <is>
          <t>Reinhartd Munzenmayer</t>
        </is>
      </c>
      <c r="Q9" s="27" t="inlineStr">
        <is>
          <t>DoD v1.0 (fuera del DAS)</t>
        </is>
      </c>
      <c r="R9" s="27" t="inlineStr">
        <is>
          <t>Fase 1 RNF-01.4 · no existe en repo</t>
        </is>
      </c>
      <c r="S9" s="27" t="inlineStr">
        <is>
          <t>~10 s en 2 muestras (04/10) en celular Android. El DAS incluye Webpay (CU-03, ADR-07) sin umbral de 10 s. El «10 s» del DAS es «8–10 servicios», no checkout. No se propone cambio al DAS 1.0.2.</t>
        </is>
      </c>
    </row>
    <row r="10" ht="75" customHeight="1" s="33">
      <c r="A10" s="26" t="inlineStr">
        <is>
          <t>RNF-02.1</t>
        </is>
      </c>
      <c r="B10" s="27" t="inlineStr">
        <is>
          <t>seguridad</t>
        </is>
      </c>
      <c r="C10" s="27" t="inlineStr">
        <is>
          <t>Seguridad</t>
        </is>
      </c>
      <c r="D10" s="27" t="inlineStr">
        <is>
          <t>Confidencialidad</t>
        </is>
      </c>
      <c r="E10" s="27" t="inlineStr">
        <is>
          <t>Token de sesión en MMKV</t>
        </is>
      </c>
      <c r="F10" s="27" t="inlineStr">
        <is>
          <t>El sistema debe guardar el token de sesión en MMKV y nunca en AsyncStorage plano.</t>
        </is>
      </c>
      <c r="G10" s="27" t="inlineStr">
        <is>
          <t>Ubicación de persistencia del token.</t>
        </is>
      </c>
      <c r="H10" s="27" t="inlineStr">
        <is>
          <t>Inspección de código y almacenamiento: 0 tokens en AsyncStorage.</t>
        </is>
      </c>
      <c r="I10" s="26" t="inlineStr">
        <is>
          <t>Must</t>
        </is>
      </c>
      <c r="J10" s="26" t="inlineStr">
        <is>
          <t>Ambos</t>
        </is>
      </c>
      <c r="K10" s="27" t="inlineStr">
        <is>
          <t>CU-01</t>
        </is>
      </c>
      <c r="L10" s="27" t="inlineStr">
        <is>
          <t>EC-RNF-03 · ADR-03</t>
        </is>
      </c>
      <c r="M10" s="27" t="inlineStr">
        <is>
          <t>TC-SEC (DOC-07 04_Seguridad)</t>
        </is>
      </c>
      <c r="N10" s="27" t="inlineStr">
        <is>
          <t>EVIDENCIA_COD-03-05_AUDITORIA_2026-09-11.md</t>
        </is>
      </c>
      <c r="O10" s="26" t="inlineStr">
        <is>
          <t>OK</t>
        </is>
      </c>
      <c r="P10" s="27" t="inlineStr">
        <is>
          <t>Reinhartd Munzenmayer</t>
        </is>
      </c>
      <c r="Q10" s="27" t="inlineStr">
        <is>
          <t>DAS 1.0.2 EC-RNF-03 · ADR-03 · ADR-04</t>
        </is>
      </c>
      <c r="R10" s="27" t="inlineStr">
        <is>
          <t>DoD v1.0 · Repo RNF-02.1 · Fase 1 RNF-02.1 («JWT»)</t>
        </is>
      </c>
      <c r="S10" s="27" t="n"/>
    </row>
    <row r="11" ht="75" customHeight="1" s="33">
      <c r="A11" s="26" t="inlineStr">
        <is>
          <t>RNF-02.2</t>
        </is>
      </c>
      <c r="B11" s="27" t="inlineStr">
        <is>
          <t>seguridad</t>
        </is>
      </c>
      <c r="C11" s="27" t="inlineStr">
        <is>
          <t>Seguridad</t>
        </is>
      </c>
      <c r="D11" s="27" t="inlineStr">
        <is>
          <t>Confidencialidad</t>
        </is>
      </c>
      <c r="E11" s="27" t="inlineStr">
        <is>
          <t>Contraseña protegida</t>
        </is>
      </c>
      <c r="F11" s="27" t="inlineStr">
        <is>
          <t>El sistema nunca debe almacenar ni registrar la contraseña en texto plano.</t>
        </is>
      </c>
      <c r="G11" s="27" t="inlineStr">
        <is>
          <t>Ocurrencias de contraseña en almacenamiento o logs.</t>
        </is>
      </c>
      <c r="H11" s="27" t="inlineStr">
        <is>
          <t>0 ocurrencias en MMKV, logs y repositorio.</t>
        </is>
      </c>
      <c r="I11" s="26" t="inlineStr">
        <is>
          <t>Must</t>
        </is>
      </c>
      <c r="J11" s="26" t="inlineStr">
        <is>
          <t>Ambos</t>
        </is>
      </c>
      <c r="K11" s="27" t="inlineStr">
        <is>
          <t>CU-01</t>
        </is>
      </c>
      <c r="L11" s="27" t="inlineStr">
        <is>
          <t>EC-RNF-03</t>
        </is>
      </c>
      <c r="M11" s="27" t="inlineStr">
        <is>
          <t>TC-SEC</t>
        </is>
      </c>
      <c r="N11" s="27" t="inlineStr">
        <is>
          <t>EVIDENCIA_COD-03-05_AUDITORIA_2026-09-11.md</t>
        </is>
      </c>
      <c r="O11" s="26" t="inlineStr">
        <is>
          <t>OK</t>
        </is>
      </c>
      <c r="P11" s="27" t="inlineStr">
        <is>
          <t>Reinhartd Munzenmayer</t>
        </is>
      </c>
      <c r="Q11" s="27" t="inlineStr">
        <is>
          <t>DAS 1.0.2 EC-RNF-03</t>
        </is>
      </c>
      <c r="R11" s="27" t="inlineStr">
        <is>
          <t>DoD v1.0 · Repo RNF-02.2</t>
        </is>
      </c>
      <c r="S11" s="27" t="n"/>
    </row>
    <row r="12" ht="75" customHeight="1" s="33">
      <c r="A12" s="26" t="inlineStr">
        <is>
          <t>RNF-02.3</t>
        </is>
      </c>
      <c r="B12" s="27" t="inlineStr">
        <is>
          <t>seguridad</t>
        </is>
      </c>
      <c r="C12" s="27" t="inlineStr">
        <is>
          <t>Seguridad</t>
        </is>
      </c>
      <c r="D12" s="27" t="inlineStr">
        <is>
          <t>Integridad</t>
        </is>
      </c>
      <c r="E12" s="27" t="inlineStr">
        <is>
          <t>HTTPS hacia API DTemite</t>
        </is>
      </c>
      <c r="F12" s="27" t="inlineStr">
        <is>
          <t>El sistema debe comunicarse con la API de DTemite solo por HTTPS.</t>
        </is>
      </c>
      <c r="G12" s="27" t="inlineStr">
        <is>
          <t>Protocolo de cada endpoint productivo/QA.</t>
        </is>
      </c>
      <c r="H12" s="27" t="inlineStr">
        <is>
          <t>100 % de llamadas a la API DTemite por HTTPS.</t>
        </is>
      </c>
      <c r="I12" s="26" t="inlineStr">
        <is>
          <t>Must</t>
        </is>
      </c>
      <c r="J12" s="26" t="inlineStr">
        <is>
          <t>Ambos</t>
        </is>
      </c>
      <c r="K12" s="27" t="inlineStr">
        <is>
          <t>CU-01 · CU-04</t>
        </is>
      </c>
      <c r="L12" s="27" t="inlineStr">
        <is>
          <t>Meta Seguridad</t>
        </is>
      </c>
      <c r="M12" s="27" t="inlineStr">
        <is>
          <t>TC-SEC</t>
        </is>
      </c>
      <c r="N12" s="27" t="inlineStr">
        <is>
          <t>Auditoría COD-03</t>
        </is>
      </c>
      <c r="O12" s="26" t="inlineStr">
        <is>
          <t>OK</t>
        </is>
      </c>
      <c r="P12" s="27" t="inlineStr">
        <is>
          <t>Reinhartd Munzenmayer</t>
        </is>
      </c>
      <c r="Q12" s="27" t="inlineStr">
        <is>
          <t>DAS 1.0.2 Meta Seguridad</t>
        </is>
      </c>
      <c r="R12" s="27" t="inlineStr">
        <is>
          <t>DoD v1.0 · Repo RNF-02.3</t>
        </is>
      </c>
      <c r="S12" s="27" t="inlineStr">
        <is>
          <t>HTTPS, sin versión TLS. TLS 1.2+ es operacionalización del catálogo, no del DAS. El proxy Webpay académico corre en HTTP LAN (TC-WP-HTTP); queda fuera de este RNF. Para WWAN usar túnel HTTPS.</t>
        </is>
      </c>
    </row>
    <row r="13" ht="75" customHeight="1" s="33">
      <c r="A13" s="26" t="inlineStr">
        <is>
          <t>RNF-02.4</t>
        </is>
      </c>
      <c r="B13" s="27" t="inlineStr">
        <is>
          <t>seguridad</t>
        </is>
      </c>
      <c r="C13" s="27" t="inlineStr">
        <is>
          <t>Seguridad</t>
        </is>
      </c>
      <c r="D13" s="27" t="inlineStr">
        <is>
          <t>Confidencialidad</t>
        </is>
      </c>
      <c r="E13" s="27" t="inlineStr">
        <is>
          <t>Sin PAN ni CVV</t>
        </is>
      </c>
      <c r="F13" s="27" t="inlineStr">
        <is>
          <t>El sistema no debe almacenar PAN ni CVV en el dispositivo, en el proxy ni en el repositorio; el dato de tarjeta solo lo ven TUU o Transbank.</t>
        </is>
      </c>
      <c r="G13" s="27" t="inlineStr">
        <is>
          <t>Ocurrencias de PAN/CVV en almacenamiento, SQLite proxy, logs y Git.</t>
        </is>
      </c>
      <c r="H13" s="27" t="inlineStr">
        <is>
          <t>0 ocurrencias (grep + inspección SQLite).</t>
        </is>
      </c>
      <c r="I13" s="26" t="inlineStr">
        <is>
          <t>Must</t>
        </is>
      </c>
      <c r="J13" s="26" t="inlineStr">
        <is>
          <t>Ambos</t>
        </is>
      </c>
      <c r="K13" s="27" t="inlineStr">
        <is>
          <t>CA-WP.2 · HU-06</t>
        </is>
      </c>
      <c r="L13" s="27" t="inlineStr">
        <is>
          <t>EC-RNF-03 · ADR-05 · ADR-07</t>
        </is>
      </c>
      <c r="M13" s="27" t="inlineStr">
        <is>
          <t>TC-SEC · TC-WP-TBK</t>
        </is>
      </c>
      <c r="N13" s="27" t="inlineStr">
        <is>
          <t>Auditoría COD-03 · capturas TBK 04/10</t>
        </is>
      </c>
      <c r="O13" s="26" t="inlineStr">
        <is>
          <t>OK</t>
        </is>
      </c>
      <c r="P13" s="27" t="inlineStr">
        <is>
          <t>Reinhartd Munzenmayer</t>
        </is>
      </c>
      <c r="Q13" s="27" t="inlineStr">
        <is>
          <t>DAS 1.0.2 EC-RNF-03 · ADR-05 · ADR-07</t>
        </is>
      </c>
      <c r="R13" s="27" t="inlineStr">
        <is>
          <t>DoD v1.0 · Repo RNF-02.4 · Fase 1 RNF-02.4</t>
        </is>
      </c>
      <c r="S13" s="27" t="inlineStr">
        <is>
          <t>Sin PAN/CVV. PCI-DSS; ver también RNF-08.2.</t>
        </is>
      </c>
    </row>
    <row r="14" ht="75" customHeight="1" s="33">
      <c r="A14" s="26" t="inlineStr">
        <is>
          <t>RNF-02.5</t>
        </is>
      </c>
      <c r="B14" s="27" t="inlineStr">
        <is>
          <t>seguridad</t>
        </is>
      </c>
      <c r="C14" s="27" t="inlineStr">
        <is>
          <t>Seguridad</t>
        </is>
      </c>
      <c r="D14" s="27" t="inlineStr">
        <is>
          <t>Responsabilidad</t>
        </is>
      </c>
      <c r="E14" s="27" t="inlineStr">
        <is>
          <t>Secretos fuera de Git</t>
        </is>
      </c>
      <c r="F14" s="27" t="inlineStr">
        <is>
          <t>El keystore, los .env y las credenciales del proxy deben quedar fuera del repositorio.</t>
        </is>
      </c>
      <c r="G14" s="27" t="inlineStr">
        <is>
          <t>Archivos sensibles versionados.</t>
        </is>
      </c>
      <c r="H14" s="27" t="inlineStr">
        <is>
          <t>0 secretos en historial Git (escaneo).</t>
        </is>
      </c>
      <c r="I14" s="26" t="inlineStr">
        <is>
          <t>Must</t>
        </is>
      </c>
      <c r="J14" s="26" t="inlineStr">
        <is>
          <t>Ambos</t>
        </is>
      </c>
      <c r="K14" s="27" t="inlineStr">
        <is>
          <t>CA-WP.2</t>
        </is>
      </c>
      <c r="L14" s="27" t="inlineStr">
        <is>
          <t>Restricción «Repositorio académico»</t>
        </is>
      </c>
      <c r="M14" s="27" t="inlineStr">
        <is>
          <t>TC-SEC</t>
        </is>
      </c>
      <c r="N14" s="27" t="inlineStr">
        <is>
          <t>Auditoría COD-03</t>
        </is>
      </c>
      <c r="O14" s="26" t="inlineStr">
        <is>
          <t>OK</t>
        </is>
      </c>
      <c r="P14" s="27" t="inlineStr">
        <is>
          <t>Reinhartd Munzenmayer</t>
        </is>
      </c>
      <c r="Q14" s="27" t="inlineStr">
        <is>
          <t>DAS 1.0.2 restricción «Repositorio académico»</t>
        </is>
      </c>
      <c r="R14" s="27" t="inlineStr">
        <is>
          <t>DoD v1.0 · Repo RNF-02.5</t>
        </is>
      </c>
      <c r="S14" s="27" t="n"/>
    </row>
    <row r="15" ht="75" customHeight="1" s="33">
      <c r="A15" s="26" t="inlineStr">
        <is>
          <t>RNF-02.6</t>
        </is>
      </c>
      <c r="B15" s="27" t="inlineStr">
        <is>
          <t>seguridad</t>
        </is>
      </c>
      <c r="C15" s="27" t="inlineStr">
        <is>
          <t>Seguridad</t>
        </is>
      </c>
      <c r="D15" s="27" t="inlineStr">
        <is>
          <t>Autenticidad</t>
        </is>
      </c>
      <c r="E15" s="27" t="inlineStr">
        <is>
          <t>API keys del Hub hasheadas</t>
        </is>
      </c>
      <c r="F15" s="27" t="inlineStr">
        <is>
          <t>La plataforma debe almacenar hasheadas las API keys del Payment Hub.</t>
        </is>
      </c>
      <c r="G15" s="27" t="inlineStr">
        <is>
          <t>Formato de almacenamiento de las keys.</t>
        </is>
      </c>
      <c r="H15" s="27" t="inlineStr">
        <is>
          <t>Keys no recuperables en claro desde la BD.</t>
        </is>
      </c>
      <c r="I15" s="26" t="inlineStr">
        <is>
          <t>Must (plataforma)</t>
        </is>
      </c>
      <c r="J15" s="26" t="inlineStr">
        <is>
          <t>Plataforma DTemite</t>
        </is>
      </c>
      <c r="K15" s="27" t="inlineStr">
        <is>
          <t>CU-08</t>
        </is>
      </c>
      <c r="L15" s="27" t="inlineStr">
        <is>
          <t>Fuera del DAS</t>
        </is>
      </c>
      <c r="M15" s="27" t="inlineStr">
        <is>
          <t>—</t>
        </is>
      </c>
      <c r="N15" s="27" t="inlineStr">
        <is>
          <t>—</t>
        </is>
      </c>
      <c r="O15" s="26" t="inlineStr">
        <is>
          <t>N/A</t>
        </is>
      </c>
      <c r="P15" s="27" t="inlineStr">
        <is>
          <t>Diego Madrid</t>
        </is>
      </c>
      <c r="Q15" s="27" t="inlineStr">
        <is>
          <t>04-requerimientos (fuera del DAS)</t>
        </is>
      </c>
      <c r="R15" s="27" t="inlineStr">
        <is>
          <t>Solo en repo (no en DoD ni en el DAS)</t>
        </is>
      </c>
      <c r="S15" s="27" t="inlineStr">
        <is>
          <t>No figura en el DAS 1.0.2. Responsabilidad del backend DTemite; QA Capstone no lo verifica.</t>
        </is>
      </c>
    </row>
    <row r="16" ht="75" customHeight="1" s="33">
      <c r="A16" s="26" t="inlineStr">
        <is>
          <t>RNF-03.1</t>
        </is>
      </c>
      <c r="B16" s="27" t="inlineStr">
        <is>
          <t>disponibilidad</t>
        </is>
      </c>
      <c r="C16" s="27" t="inlineStr">
        <is>
          <t>Fiabilidad</t>
        </is>
      </c>
      <c r="D16" s="27" t="inlineStr">
        <is>
          <t>Disponibilidad / Recuperabilidad</t>
        </is>
      </c>
      <c r="E16" s="27" t="inlineStr">
        <is>
          <t>Venta en efectivo sin conexión</t>
        </is>
      </c>
      <c r="F16" s="27" t="inlineStr">
        <is>
          <t>Sin conexión, el sistema debe permitir armar y cobrar una venta en efectivo, dejarla en cola local y reintentar la sincronización al volver la red, sin perder el carrito.</t>
        </is>
      </c>
      <c r="G16" s="27" t="inlineStr">
        <is>
          <t>Ventas perdidas por corte de red.</t>
        </is>
      </c>
      <c r="H16" s="27" t="inlineStr">
        <is>
          <t>0 carritos perdidos; sincroniza al recuperar red (EC-RNF-04).</t>
        </is>
      </c>
      <c r="I16" s="26" t="inlineStr">
        <is>
          <t>Should</t>
        </is>
      </c>
      <c r="J16" s="26" t="inlineStr">
        <is>
          <t>Ambos</t>
        </is>
      </c>
      <c r="K16" s="27" t="inlineStr">
        <is>
          <t>CU-02 · CU-05</t>
        </is>
      </c>
      <c r="L16" s="27" t="inlineStr">
        <is>
          <t>EC-RNF-04</t>
        </is>
      </c>
      <c r="M16" s="27" t="inlineStr">
        <is>
          <t>TC-RNF03</t>
        </is>
      </c>
      <c r="N16" s="27" t="inlineStr">
        <is>
          <t>regresion-efectivo-dte/ (27/09)</t>
        </is>
      </c>
      <c r="O16" s="26" t="inlineStr">
        <is>
          <t>Parcial</t>
        </is>
      </c>
      <c r="P16" s="27" t="inlineStr">
        <is>
          <t>Reinhartd Munzenmayer</t>
        </is>
      </c>
      <c r="Q16" s="27" t="inlineStr">
        <is>
          <t>DAS 1.0.2 EC-RNF-04</t>
        </is>
      </c>
      <c r="R16" s="27" t="inlineStr">
        <is>
          <t>DoD v1.0 · Repo RNF-03.1 + RNF-03.2 · Fase 1 RNF-03.1</t>
        </is>
      </c>
      <c r="S16" s="27" t="inlineStr">
        <is>
          <t>Venta offline OK (folio 0, PDF local). Falta evidencia del reintento automático de sincronización. Alineado con el DAS (cola local, 0 carritos perdidos).</t>
        </is>
      </c>
    </row>
    <row r="17" ht="75" customHeight="1" s="33">
      <c r="A17" s="26" t="inlineStr">
        <is>
          <t>RNF-03.2</t>
        </is>
      </c>
      <c r="B17" s="27" t="inlineStr">
        <is>
          <t>disponibilidad</t>
        </is>
      </c>
      <c r="C17" s="27" t="inlineStr">
        <is>
          <t>Fiabilidad</t>
        </is>
      </c>
      <c r="D17" s="27" t="inlineStr">
        <is>
          <t>Tolerancia a fallos</t>
        </is>
      </c>
      <c r="E17" s="27" t="inlineStr">
        <is>
          <t>Pagos fallidos identificables</t>
        </is>
      </c>
      <c r="F17" s="27" t="inlineStr">
        <is>
          <t>Las transacciones fallidas de TUU y de Webpay deben quedar identificables y nunca mostrarse como cobro exitoso.</t>
        </is>
      </c>
      <c r="G17" s="27" t="inlineStr">
        <is>
          <t>Estados declined/cancelled/timeout mostrados como éxito.</t>
        </is>
      </c>
      <c r="H17" s="27" t="inlineStr">
        <is>
          <t>0 falsos positivos en rechazo, cancelación y timeout.</t>
        </is>
      </c>
      <c r="I17" s="26" t="inlineStr">
        <is>
          <t>Must</t>
        </is>
      </c>
      <c r="J17" s="26" t="inlineStr">
        <is>
          <t>Ambos</t>
        </is>
      </c>
      <c r="K17" s="27" t="inlineStr">
        <is>
          <t>CA-WP.4 · CA-WP.6</t>
        </is>
      </c>
      <c r="L17" s="27" t="inlineStr">
        <is>
          <t>Fuera del DAS</t>
        </is>
      </c>
      <c r="M17" s="27" t="inlineStr">
        <is>
          <t>TC-WP-04 · TC-WP-05</t>
        </is>
      </c>
      <c r="N17" s="27" t="inlineStr">
        <is>
          <t>CLASIFICACION-CAPTURAS-2026-10-04.md</t>
        </is>
      </c>
      <c r="O17" s="26" t="inlineStr">
        <is>
          <t>OK</t>
        </is>
      </c>
      <c r="P17" s="27" t="inlineStr">
        <is>
          <t>Reinhartd Munzenmayer</t>
        </is>
      </c>
      <c r="Q17" s="27" t="inlineStr">
        <is>
          <t>DoD v1.0 (fuera del DAS)</t>
        </is>
      </c>
      <c r="R17" s="27" t="inlineStr">
        <is>
          <t>Repo RNF-03.3 («auditables»)</t>
        </is>
      </c>
      <c r="S17" s="27" t="inlineStr">
        <is>
          <t>No modelado en el DAS 1.0.2. Rechazo MC y cancelación verificados en celular Android (04/10).</t>
        </is>
      </c>
    </row>
    <row r="18" ht="75" customHeight="1" s="33">
      <c r="A18" s="26" t="inlineStr">
        <is>
          <t>RNF-04.1</t>
        </is>
      </c>
      <c r="B18" s="27" t="inlineStr">
        <is>
          <t>usabilidad</t>
        </is>
      </c>
      <c r="C18" s="27" t="inlineStr">
        <is>
          <t>Usabilidad (Interacción)</t>
        </is>
      </c>
      <c r="D18" s="27" t="inlineStr">
        <is>
          <t>Protección frente a errores</t>
        </is>
      </c>
      <c r="E18" s="27" t="inlineStr">
        <is>
          <t>Mensajes en español</t>
        </is>
      </c>
      <c r="F18" s="27" t="inlineStr">
        <is>
          <t>Los errores de pago y de DTE deben mostrarse en español y en lenguaje del cajero.</t>
        </is>
      </c>
      <c r="G18" s="27" t="inlineStr">
        <is>
          <t>Mensajes de error sin traducir o técnicos.</t>
        </is>
      </c>
      <c r="H18" s="27" t="inlineStr">
        <is>
          <t>100 % de mensajes de pago/DTE en español.</t>
        </is>
      </c>
      <c r="I18" s="26" t="inlineStr">
        <is>
          <t>Must</t>
        </is>
      </c>
      <c r="J18" s="26" t="inlineStr">
        <is>
          <t>Ambos</t>
        </is>
      </c>
      <c r="K18" s="27" t="inlineStr">
        <is>
          <t>CA-WP.4</t>
        </is>
      </c>
      <c r="L18" s="27" t="inlineStr">
        <is>
          <t>Meta Usabilidad · EC-RNF-01</t>
        </is>
      </c>
      <c r="M18" s="27" t="inlineStr">
        <is>
          <t>TC-WP-04 · MTC-10</t>
        </is>
      </c>
      <c r="N18" s="27" t="inlineStr">
        <is>
          <t>Capturas 04/10 («Pago no completado»)</t>
        </is>
      </c>
      <c r="O18" s="26" t="inlineStr">
        <is>
          <t>OK</t>
        </is>
      </c>
      <c r="P18" s="27" t="inlineStr">
        <is>
          <t>Reinhartd Munzenmayer</t>
        </is>
      </c>
      <c r="Q18" s="27" t="inlineStr">
        <is>
          <t>DAS 1.0.2 Meta Usabilidad · EC-RNF-01</t>
        </is>
      </c>
      <c r="R18" s="27" t="inlineStr">
        <is>
          <t>DoD v1.0 · Repo RNF-04.2</t>
        </is>
      </c>
      <c r="S18" s="27" t="n"/>
    </row>
    <row r="19" ht="75" customHeight="1" s="33">
      <c r="A19" s="26" t="inlineStr">
        <is>
          <t>RNF-04.2</t>
        </is>
      </c>
      <c r="B19" s="27" t="inlineStr">
        <is>
          <t>usabilidad</t>
        </is>
      </c>
      <c r="C19" s="27" t="inlineStr">
        <is>
          <t>Usabilidad (Interacción)</t>
        </is>
      </c>
      <c r="D19" s="27" t="inlineStr">
        <is>
          <t>Operabilidad</t>
        </is>
      </c>
      <c r="E19" s="27" t="inlineStr">
        <is>
          <t>UI táctil para POS</t>
        </is>
      </c>
      <c r="F19" s="27" t="inlineStr">
        <is>
          <t>La interfaz debe ser operable con el dedo en pantallas de 5" a 6".</t>
        </is>
      </c>
      <c r="G19" s="27" t="inlineStr">
        <is>
          <t>Controles por debajo del tamaño táctil mínimo.</t>
        </is>
      </c>
      <c r="H19" s="27" t="inlineStr">
        <is>
          <t>Flujo de venta completo operable en celular Android y P8 Neo.</t>
        </is>
      </c>
      <c r="I19" s="26" t="inlineStr">
        <is>
          <t>Must</t>
        </is>
      </c>
      <c r="J19" s="26" t="inlineStr">
        <is>
          <t>Ambos</t>
        </is>
      </c>
      <c r="K19" s="27" t="inlineStr">
        <is>
          <t>CU-02 · CU-03</t>
        </is>
      </c>
      <c r="L19" s="27" t="inlineStr">
        <is>
          <t>EC-RNF-01 (ambiente 5"–6")</t>
        </is>
      </c>
      <c r="M19" s="27" t="inlineStr">
        <is>
          <t>Sesiones celular Android</t>
        </is>
      </c>
      <c r="N19" s="27" t="inlineStr">
        <is>
          <t>Capturas celular Android 19/09–04/10</t>
        </is>
      </c>
      <c r="O19" s="26" t="inlineStr">
        <is>
          <t>OK</t>
        </is>
      </c>
      <c r="P19" s="27" t="inlineStr">
        <is>
          <t>Reinhartd Munzenmayer</t>
        </is>
      </c>
      <c r="Q19" s="27" t="inlineStr">
        <is>
          <t>DAS 1.0.2 EC-RNF-01</t>
        </is>
      </c>
      <c r="R19" s="27" t="inlineStr">
        <is>
          <t>04-requerimientos · Repo RNF-04.1 · no en DoD</t>
        </is>
      </c>
      <c r="S19" s="27" t="inlineStr">
        <is>
          <t>El DAS cita UI táctil POS y pantalla 5"–6". El ID 04.2 es desglose del catálogo.</t>
        </is>
      </c>
    </row>
    <row r="20" ht="75" customHeight="1" s="33">
      <c r="A20" s="26" t="inlineStr">
        <is>
          <t>RNF-04.3</t>
        </is>
      </c>
      <c r="B20" s="27" t="inlineStr">
        <is>
          <t>usabilidad</t>
        </is>
      </c>
      <c r="C20" s="27" t="inlineStr">
        <is>
          <t>Usabilidad (Interacción)</t>
        </is>
      </c>
      <c r="D20" s="27" t="inlineStr">
        <is>
          <t>Operabilidad</t>
        </is>
      </c>
      <c r="E20" s="27" t="inlineStr">
        <is>
          <t>Venta rápida</t>
        </is>
      </c>
      <c r="F20" s="27" t="inlineStr">
        <is>
          <t>El cajero debe poder completar una venta en efectivo con boleta en menos de 2 minutos en prueba guiada.</t>
        </is>
      </c>
      <c r="G20" s="27" t="inlineStr">
        <is>
          <t>Minutos por venta efectivo + boleta.</t>
        </is>
      </c>
      <c r="H20" s="27" t="inlineStr">
        <is>
          <t>&lt; 2 min (EC-RNF-01).</t>
        </is>
      </c>
      <c r="I20" s="26" t="inlineStr">
        <is>
          <t>Should</t>
        </is>
      </c>
      <c r="J20" s="26" t="inlineStr">
        <is>
          <t>Ambos</t>
        </is>
      </c>
      <c r="K20" s="27" t="inlineStr">
        <is>
          <t>CU-02 · CU-04</t>
        </is>
      </c>
      <c r="L20" s="27" t="inlineStr">
        <is>
          <t>EC-RNF-01</t>
        </is>
      </c>
      <c r="M20" s="27" t="inlineStr">
        <is>
          <t>MTC usabilidad (por crear)</t>
        </is>
      </c>
      <c r="N20" s="27" t="inlineStr">
        <is>
          <t>—</t>
        </is>
      </c>
      <c r="O20" s="26" t="inlineStr">
        <is>
          <t>No ejecutado</t>
        </is>
      </c>
      <c r="P20" s="27" t="inlineStr">
        <is>
          <t>Reinhartd Munzenmayer</t>
        </is>
      </c>
      <c r="Q20" s="27" t="inlineStr">
        <is>
          <t>DAS 1.0.2 EC-RNF-01</t>
        </is>
      </c>
      <c r="R20" s="27" t="inlineStr">
        <is>
          <t>Repo RNF-04.3 («pocos taps»)</t>
        </is>
      </c>
      <c r="S20" s="27" t="inlineStr">
        <is>
          <t>Alineado con la medida del DAS (&lt; 2 min). El repo decía «pocos taps» (ambiguo).</t>
        </is>
      </c>
    </row>
    <row r="21" ht="75" customHeight="1" s="33">
      <c r="A21" s="26" t="inlineStr">
        <is>
          <t>RNF-04.4</t>
        </is>
      </c>
      <c r="B21" s="27" t="inlineStr">
        <is>
          <t>usabilidad</t>
        </is>
      </c>
      <c r="C21" s="27" t="inlineStr">
        <is>
          <t>Usabilidad (Interacción)</t>
        </is>
      </c>
      <c r="D21" s="27" t="inlineStr">
        <is>
          <t>Estética de la interfaz</t>
        </is>
      </c>
      <c r="E21" s="27" t="inlineStr">
        <is>
          <t>Tema claro y oscuro</t>
        </is>
      </c>
      <c r="F21" s="27" t="inlineStr">
        <is>
          <t>El sistema debe ofrecer tema claro y oscuro configurable.</t>
        </is>
      </c>
      <c r="G21" s="27" t="inlineStr">
        <is>
          <t>Pantallas sin soporte de tema.</t>
        </is>
      </c>
      <c r="H21" s="27" t="inlineStr">
        <is>
          <t>Tema aplicable desde configuración.</t>
        </is>
      </c>
      <c r="I21" s="26" t="inlineStr">
        <is>
          <t>Could</t>
        </is>
      </c>
      <c r="J21" s="26" t="inlineStr">
        <is>
          <t>Ambos</t>
        </is>
      </c>
      <c r="K21" s="27" t="inlineStr">
        <is>
          <t>CU-09</t>
        </is>
      </c>
      <c r="L21" s="27" t="inlineStr">
        <is>
          <t>CU-09</t>
        </is>
      </c>
      <c r="M21" s="27" t="inlineStr">
        <is>
          <t>—</t>
        </is>
      </c>
      <c r="N21" s="27" t="inlineStr">
        <is>
          <t>—</t>
        </is>
      </c>
      <c r="O21" s="26" t="inlineStr">
        <is>
          <t>No ejecutado</t>
        </is>
      </c>
      <c r="P21" s="27" t="inlineStr">
        <is>
          <t>Reinhartd Munzenmayer</t>
        </is>
      </c>
      <c r="Q21" s="27" t="inlineStr">
        <is>
          <t>DAS 1.0.2 CU-09</t>
        </is>
      </c>
      <c r="R21" s="27" t="inlineStr">
        <is>
          <t>04-requerimientos · Repo RNF-04.4</t>
        </is>
      </c>
      <c r="S21" s="27" t="inlineStr">
        <is>
          <t>El DAS CU-09 menciona tema claro/oscuro. RF-08.3 lo declara implementado; falta evidencia.</t>
        </is>
      </c>
    </row>
    <row r="22" ht="75" customHeight="1" s="33">
      <c r="A22" s="26" t="inlineStr">
        <is>
          <t>RNF-05.1</t>
        </is>
      </c>
      <c r="B22" s="27" t="inlineStr">
        <is>
          <t>portabilidad</t>
        </is>
      </c>
      <c r="C22" s="27" t="inlineStr">
        <is>
          <t>Flexibilidad (Portabilidad)</t>
        </is>
      </c>
      <c r="D22" s="27" t="inlineStr">
        <is>
          <t>Adaptabilidad</t>
        </is>
      </c>
      <c r="E22" s="27" t="inlineStr">
        <is>
          <t>Android 7.0 o superior</t>
        </is>
      </c>
      <c r="F22" s="27" t="inlineStr">
        <is>
          <t>El sistema debe ejecutarse en Android API 24 (7.0) o superior.</t>
        </is>
      </c>
      <c r="G22" s="27" t="inlineStr">
        <is>
          <t>minSdkVersion del build.</t>
        </is>
      </c>
      <c r="H22" s="27" t="inlineStr">
        <is>
          <t>minSdkVersion = 24.</t>
        </is>
      </c>
      <c r="I22" s="26" t="inlineStr">
        <is>
          <t>Must</t>
        </is>
      </c>
      <c r="J22" s="26" t="inlineStr">
        <is>
          <t>Ambos</t>
        </is>
      </c>
      <c r="K22" s="27" t="inlineStr">
        <is>
          <t>HU-01</t>
        </is>
      </c>
      <c r="L22" s="27" t="inlineStr">
        <is>
          <t>Ámbito «Plataformas»</t>
        </is>
      </c>
      <c r="M22" s="27" t="inlineStr">
        <is>
          <t>Revisión de build</t>
        </is>
      </c>
      <c r="N22" s="27" t="inlineStr">
        <is>
          <t>android/build.gradle (minSdkVersion = 24)</t>
        </is>
      </c>
      <c r="O22" s="26" t="inlineStr">
        <is>
          <t>OK</t>
        </is>
      </c>
      <c r="P22" s="27" t="inlineStr">
        <is>
          <t>Reinhartd Munzenmayer</t>
        </is>
      </c>
      <c r="Q22" s="27" t="inlineStr">
        <is>
          <t>DAS 1.0.2 Ámbito «Plataformas»</t>
        </is>
      </c>
      <c r="R22" s="27" t="inlineStr">
        <is>
          <t>DoD v1.0 · Repo RNF-05.1 · Fase 1 RNF-05.1</t>
        </is>
      </c>
      <c r="S22" s="27" t="inlineStr">
        <is>
          <t>Alineado con el DAS: Android 7.0+ (API 24).</t>
        </is>
      </c>
    </row>
    <row r="23" ht="75" customHeight="1" s="33">
      <c r="A23" s="26" t="inlineStr">
        <is>
          <t>RNF-05.2</t>
        </is>
      </c>
      <c r="B23" s="27" t="inlineStr">
        <is>
          <t>portabilidad</t>
        </is>
      </c>
      <c r="C23" s="27" t="inlineStr">
        <is>
          <t>Compatibilidad</t>
        </is>
      </c>
      <c r="D23" s="27" t="inlineStr">
        <is>
          <t>Interoperabilidad</t>
        </is>
      </c>
      <c r="E23" s="27" t="inlineStr">
        <is>
          <t>Terminal Kozen P8 Neo</t>
        </is>
      </c>
      <c r="F23" s="27" t="inlineStr">
        <is>
          <t>El camino TUU debe funcionar en Kozen P8 Neo (armeabi-v7a).</t>
        </is>
      </c>
      <c r="G23" s="27" t="inlineStr">
        <is>
          <t>ABI incluida en el APK y cobro TUU.</t>
        </is>
      </c>
      <c r="H23" s="27" t="inlineStr">
        <is>
          <t>APK con armeabi-v7a; cobro TUU aprobado en P8 Neo.</t>
        </is>
      </c>
      <c r="I23" s="26" t="inlineStr">
        <is>
          <t>Must</t>
        </is>
      </c>
      <c r="J23" s="26" t="inlineStr">
        <is>
          <t>D-PAY 2.0 Kozen</t>
        </is>
      </c>
      <c r="K23" s="27" t="inlineStr">
        <is>
          <t>HU-01 · HU-06</t>
        </is>
      </c>
      <c r="L23" s="27" t="inlineStr">
        <is>
          <t>Restricción «Hardware TUU»</t>
        </is>
      </c>
      <c r="M23" s="27" t="inlineStr">
        <is>
          <t>TC-064</t>
        </is>
      </c>
      <c r="N23" s="27" t="inlineStr">
        <is>
          <t>COD-08-HU06-tuu-kozen/capturas/TC-RG-01*; 07_Plan_de_Pruebas/05_Evidencias_por_sprint/Sprint_03/capturas_20261013/; jest-hu06Tuu-factory-deteccion-output-20261011.txt</t>
        </is>
      </c>
      <c r="O23" s="26" t="inlineStr">
        <is>
          <t>Parcial</t>
        </is>
      </c>
      <c r="P23" s="27" t="inlineStr">
        <is>
          <t>Diego Madrid</t>
        </is>
      </c>
      <c r="Q23" s="27" t="inlineStr">
        <is>
          <t>DAS 1.0.2 restricción «Hardware TUU»</t>
        </is>
      </c>
      <c r="R23" s="27" t="inlineStr">
        <is>
          <t>DoD v1.0 · Repo RNF-05.2 · Fase 1 RNF-05.2</t>
        </is>
      </c>
      <c r="S23" s="27" t="inlineStr">
        <is>
          <t>Parcial 13/10/2026: Diego Madrid, Kozen P8 Neo. Débito $2.000 aprobado; crédito $5.000 cancelado (no declined emisor). Falta crédito aprobado. Jest 17/17 (11/10).</t>
        </is>
      </c>
    </row>
    <row r="24" ht="75" customHeight="1" s="33">
      <c r="A24" s="26" t="inlineStr">
        <is>
          <t>RNF-05.3</t>
        </is>
      </c>
      <c r="B24" s="27" t="inlineStr">
        <is>
          <t>portabilidad</t>
        </is>
      </c>
      <c r="C24" s="27" t="inlineStr">
        <is>
          <t>Flexibilidad (Portabilidad)</t>
        </is>
      </c>
      <c r="D24" s="27" t="inlineStr">
        <is>
          <t>Adaptabilidad</t>
        </is>
      </c>
      <c r="E24" s="27" t="inlineStr">
        <is>
          <t>Celular Android genérico</t>
        </is>
      </c>
      <c r="F24" s="27" t="inlineStr">
        <is>
          <t>En un smartphone Android sin TUU (API 24+), el sistema debe operar efectivo, DTE y Webpay.</t>
        </is>
      </c>
      <c r="G24" s="27" t="inlineStr">
        <is>
          <t>Flujos disponibles en perfil GENERIC_MOBILE.</t>
        </is>
      </c>
      <c r="H24" s="27" t="inlineStr">
        <is>
          <t>Perfil GENERIC_MOBILE detectado y cobro Webpay aprobado.</t>
        </is>
      </c>
      <c r="I24" s="26" t="inlineStr">
        <is>
          <t>Must</t>
        </is>
      </c>
      <c r="J24" s="26" t="inlineStr">
        <is>
          <t>D-PAY 3.0 Capstone</t>
        </is>
      </c>
      <c r="K24" s="27" t="inlineStr">
        <is>
          <t>HU-01 · HU-03 · HU-04</t>
        </is>
      </c>
      <c r="L24" s="27" t="inlineStr">
        <is>
          <t>Restricción «Hardware TUU» · Ámbito Android 7.0+ (API 24)</t>
        </is>
      </c>
      <c r="M24" s="27" t="inlineStr">
        <is>
          <t>TC-DEV · TC-WP-TBK</t>
        </is>
      </c>
      <c r="N24" s="27" t="inlineStr">
        <is>
          <t>Comprobante celular Android $2.000 (04/10)</t>
        </is>
      </c>
      <c r="O24" s="26" t="inlineStr">
        <is>
          <t>OK</t>
        </is>
      </c>
      <c r="P24" s="27" t="inlineStr">
        <is>
          <t>Reinhartd Munzenmayer</t>
        </is>
      </c>
      <c r="Q24" s="27" t="inlineStr">
        <is>
          <t>DAS 1.0.2 Ámbito / Hardware TUU</t>
        </is>
      </c>
      <c r="R24" s="27" t="inlineStr">
        <is>
          <t>DoD v1.0 · Repo RNF-05.3 (alias Android 10+ descartado)</t>
        </is>
      </c>
      <c r="S24" s="27" t="inlineStr">
        <is>
          <t>El DAS fija Android 7.0+ (API 24) para Kozen y smartphone. El alias «Android 10+» del repo queda descartado.</t>
        </is>
      </c>
    </row>
    <row r="25" ht="75" customHeight="1" s="33">
      <c r="A25" s="26" t="inlineStr">
        <is>
          <t>RNF-05.4</t>
        </is>
      </c>
      <c r="B25" s="27" t="inlineStr">
        <is>
          <t>portabilidad</t>
        </is>
      </c>
      <c r="C25" s="27" t="inlineStr">
        <is>
          <t>Flexibilidad (Portabilidad)</t>
        </is>
      </c>
      <c r="D25" s="27" t="inlineStr">
        <is>
          <t>Adaptabilidad</t>
        </is>
      </c>
      <c r="E25" s="27" t="inlineStr">
        <is>
          <t>Cliente iOS</t>
        </is>
      </c>
      <c r="F25" s="27" t="inlineStr">
        <is>
          <t>No se desarrolla cliente iOS en el MVP.</t>
        </is>
      </c>
      <c r="G25" s="27" t="inlineStr">
        <is>
          <t>—</t>
        </is>
      </c>
      <c r="H25" s="27" t="inlineStr">
        <is>
          <t>—</t>
        </is>
      </c>
      <c r="I25" s="26" t="inlineStr">
        <is>
          <t>Won't</t>
        </is>
      </c>
      <c r="J25" s="26" t="inlineStr">
        <is>
          <t>Ambos</t>
        </is>
      </c>
      <c r="K25" s="27" t="inlineStr">
        <is>
          <t>—</t>
        </is>
      </c>
      <c r="L25" s="27" t="inlineStr">
        <is>
          <t>Ámbito «Excluye»</t>
        </is>
      </c>
      <c r="M25" s="27" t="inlineStr">
        <is>
          <t>—</t>
        </is>
      </c>
      <c r="N25" s="27" t="inlineStr">
        <is>
          <t>—</t>
        </is>
      </c>
      <c r="O25" s="26" t="inlineStr">
        <is>
          <t>N/A</t>
        </is>
      </c>
      <c r="P25" s="27" t="inlineStr">
        <is>
          <t>—</t>
        </is>
      </c>
      <c r="Q25" s="27" t="inlineStr">
        <is>
          <t>DAS 1.0.2 Ámbito «Excluye»</t>
        </is>
      </c>
      <c r="R25" s="27" t="inlineStr">
        <is>
          <t>04-requerimientos · Repo RNF-05.4 · RF-W03</t>
        </is>
      </c>
      <c r="S25" s="27" t="inlineStr">
        <is>
          <t>Alineado con el DAS: cliente iOS nativo excluido.</t>
        </is>
      </c>
    </row>
    <row r="26" ht="75" customHeight="1" s="33">
      <c r="A26" s="26" t="inlineStr">
        <is>
          <t>RNF-06.1</t>
        </is>
      </c>
      <c r="B26" s="27" t="inlineStr">
        <is>
          <t>mantenibilidad</t>
        </is>
      </c>
      <c r="C26" s="27" t="inlineStr">
        <is>
          <t>Mantenibilidad</t>
        </is>
      </c>
      <c r="D26" s="27" t="inlineStr">
        <is>
          <t>Analizabilidad</t>
        </is>
      </c>
      <c r="E26" s="27" t="inlineStr">
        <is>
          <t>TypeScript estricto</t>
        </is>
      </c>
      <c r="F26" s="27" t="inlineStr">
        <is>
          <t>El código debe compilar con TypeScript en modo estricto.</t>
        </is>
      </c>
      <c r="G26" s="27" t="inlineStr">
        <is>
          <t>Errores de tsc.</t>
        </is>
      </c>
      <c r="H26" s="27" t="inlineStr">
        <is>
          <t>strict activo y 0 errores de tsc.</t>
        </is>
      </c>
      <c r="I26" s="26" t="inlineStr">
        <is>
          <t>Must</t>
        </is>
      </c>
      <c r="J26" s="26" t="inlineStr">
        <is>
          <t>Ambos</t>
        </is>
      </c>
      <c r="K26" s="27" t="inlineStr">
        <is>
          <t>—</t>
        </is>
      </c>
      <c r="L26" s="27" t="inlineStr">
        <is>
          <t>EC-RNF-05</t>
        </is>
      </c>
      <c r="M26" s="27" t="inlineStr">
        <is>
          <t>Revisión de configuración</t>
        </is>
      </c>
      <c r="N26" s="27" t="inlineStr">
        <is>
          <t>tsconfig.json extiende @react-native/typescript-config (strict)</t>
        </is>
      </c>
      <c r="O26" s="26" t="inlineStr">
        <is>
          <t>OK</t>
        </is>
      </c>
      <c r="P26" s="27" t="inlineStr">
        <is>
          <t>Pablo Gutiérrez</t>
        </is>
      </c>
      <c r="Q26" s="27" t="inlineStr">
        <is>
          <t>DAS 1.0.2 EC-RNF-05 · Meta Modificabilidad</t>
        </is>
      </c>
      <c r="R26" s="27" t="inlineStr">
        <is>
          <t>04-requerimientos · Repo RNF-06.1</t>
        </is>
      </c>
      <c r="S26" s="27" t="inlineStr">
        <is>
          <t>Alineado con el DAS: TypeScript estricto.</t>
        </is>
      </c>
    </row>
    <row r="27" ht="75" customHeight="1" s="33">
      <c r="A27" s="26" t="inlineStr">
        <is>
          <t>RNF-06.2</t>
        </is>
      </c>
      <c r="B27" s="27" t="inlineStr">
        <is>
          <t>mantenibilidad</t>
        </is>
      </c>
      <c r="C27" s="27" t="inlineStr">
        <is>
          <t>Mantenibilidad</t>
        </is>
      </c>
      <c r="D27" s="27" t="inlineStr">
        <is>
          <t>Modularidad</t>
        </is>
      </c>
      <c r="E27" s="27" t="inlineStr">
        <is>
          <t>Capas screens / stores / services</t>
        </is>
      </c>
      <c r="F27" s="27" t="inlineStr">
        <is>
          <t>El código debe separar screens, stores y services (DAS). En el Capstone, las pasarelas implementan el contrato PaymentGateway.</t>
        </is>
      </c>
      <c r="G27" s="27" t="inlineStr">
        <is>
          <t>Separación de capas; pasarelas fuera del contrato Capstone.</t>
        </is>
      </c>
      <c r="H27" s="27" t="inlineStr">
        <is>
          <t>Capas verificables; factory resuelve TUU/Webpay/Mock (regla HU-02, no texto del DAS).</t>
        </is>
      </c>
      <c r="I27" s="26" t="inlineStr">
        <is>
          <t>Must</t>
        </is>
      </c>
      <c r="J27" s="26" t="inlineStr">
        <is>
          <t>Ambos</t>
        </is>
      </c>
      <c r="K27" s="27" t="inlineStr">
        <is>
          <t>HU-02</t>
        </is>
      </c>
      <c r="L27" s="27" t="inlineStr">
        <is>
          <t>EC-RNF-05 · Meta Modificabilidad</t>
        </is>
      </c>
      <c r="M27" s="27" t="inlineStr">
        <is>
          <t>Jest PaymentGatewayFactory</t>
        </is>
      </c>
      <c r="N27" s="27" t="inlineStr">
        <is>
          <t>PaymentGatewayFactory.test.ts (9/9)</t>
        </is>
      </c>
      <c r="O27" s="26" t="inlineStr">
        <is>
          <t>OK</t>
        </is>
      </c>
      <c r="P27" s="27" t="inlineStr">
        <is>
          <t>Pablo Gutiérrez</t>
        </is>
      </c>
      <c r="Q27" s="27" t="inlineStr">
        <is>
          <t>DAS 1.0.2 EC-RNF-05</t>
        </is>
      </c>
      <c r="R27" s="27" t="inlineStr">
        <is>
          <t>04-requerimientos · Repo RNF-06.2</t>
        </is>
      </c>
      <c r="S27" s="27" t="inlineStr">
        <is>
          <t>IPaymentGateway y «no tocar SalePaymentScreen» son regla Capstone (HU-02), no texto del DAS 1.0.2.</t>
        </is>
      </c>
    </row>
    <row r="28" ht="75" customHeight="1" s="33">
      <c r="A28" s="26" t="inlineStr">
        <is>
          <t>RNF-06.3</t>
        </is>
      </c>
      <c r="B28" s="27" t="inlineStr">
        <is>
          <t>mantenibilidad</t>
        </is>
      </c>
      <c r="C28" s="27" t="inlineStr">
        <is>
          <t>Mantenibilidad</t>
        </is>
      </c>
      <c r="D28" s="27" t="inlineStr">
        <is>
          <t>Modificabilidad</t>
        </is>
      </c>
      <c r="E28" s="27" t="inlineStr">
        <is>
          <t>Contrato API documentado</t>
        </is>
      </c>
      <c r="F28" s="27" t="inlineStr">
        <is>
          <t>Los endpoints que consume el POS deben estar documentados.</t>
        </is>
      </c>
      <c r="G28" s="27" t="inlineStr">
        <is>
          <t>Endpoints sin documentar.</t>
        </is>
      </c>
      <c r="H28" s="27" t="inlineStr">
        <is>
          <t>Colección Postman / documento de contrato vigente.</t>
        </is>
      </c>
      <c r="I28" s="26" t="inlineStr">
        <is>
          <t>Should</t>
        </is>
      </c>
      <c r="J28" s="26" t="inlineStr">
        <is>
          <t>Ambos</t>
        </is>
      </c>
      <c r="K28" s="27" t="inlineStr">
        <is>
          <t>—</t>
        </is>
      </c>
      <c r="L28" s="27" t="inlineStr">
        <is>
          <t>Restricción «Backend mandante»</t>
        </is>
      </c>
      <c r="M28" s="27" t="inlineStr">
        <is>
          <t>Revisión documental</t>
        </is>
      </c>
      <c r="N28" s="27" t="inlineStr">
        <is>
          <t>codigo/docs/postman/</t>
        </is>
      </c>
      <c r="O28" s="26" t="inlineStr">
        <is>
          <t>Parcial</t>
        </is>
      </c>
      <c r="P28" s="27" t="inlineStr">
        <is>
          <t>Diego Madrid</t>
        </is>
      </c>
      <c r="Q28" s="27" t="inlineStr">
        <is>
          <t>DAS 1.0.2 restricción «Backend mandante»</t>
        </is>
      </c>
      <c r="R28" s="27" t="inlineStr">
        <is>
          <t>04-requerimientos · Repo RNF-06.3</t>
        </is>
      </c>
      <c r="S28" s="27" t="inlineStr">
        <is>
          <t>El DAS exige integración por contrato HTTP; la colección Postman es evidencia del catálogo.</t>
        </is>
      </c>
    </row>
    <row r="29" ht="75" customHeight="1" s="33">
      <c r="A29" s="26" t="inlineStr">
        <is>
          <t>RNF-06.4</t>
        </is>
      </c>
      <c r="B29" s="27" t="inlineStr">
        <is>
          <t>mantenibilidad</t>
        </is>
      </c>
      <c r="C29" s="27" t="inlineStr">
        <is>
          <t>Mantenibilidad</t>
        </is>
      </c>
      <c r="D29" s="27" t="inlineStr">
        <is>
          <t>Capacidad de prueba</t>
        </is>
      </c>
      <c r="E29" s="27" t="inlineStr">
        <is>
          <t>Lint y pruebas en verde (ID del catálogo)</t>
        </is>
      </c>
      <c r="F29" s="27" t="inlineStr">
        <is>
          <t>Todo PR debe pasar ESLint y la suite Jest antes de entrar a main.</t>
        </is>
      </c>
      <c r="G29" s="27" t="inlineStr">
        <is>
          <t>Errores de ESLint y tests fallidos.</t>
        </is>
      </c>
      <c r="H29" s="27" t="inlineStr">
        <is>
          <t>0 errores ESLint; 0 tests fallidos.</t>
        </is>
      </c>
      <c r="I29" s="26" t="inlineStr">
        <is>
          <t>Should</t>
        </is>
      </c>
      <c r="J29" s="26" t="inlineStr">
        <is>
          <t>Ambos</t>
        </is>
      </c>
      <c r="K29" s="27" t="inlineStr">
        <is>
          <t>DoD código</t>
        </is>
      </c>
      <c r="L29" s="27" t="inlineStr">
        <is>
          <t>EC-RNF-05 (medida ESLint + DoD; el ID 06.4 no existe en el DAS)</t>
        </is>
      </c>
      <c r="M29" s="27" t="inlineStr">
        <is>
          <t>Jest suite</t>
        </is>
      </c>
      <c r="N29" s="27" t="inlineStr">
        <is>
          <t>D-01 App.test.tsx</t>
        </is>
      </c>
      <c r="O29" s="26" t="inlineStr">
        <is>
          <t>NOK</t>
        </is>
      </c>
      <c r="P29" s="27" t="inlineStr">
        <is>
          <t>Diego Madrid</t>
        </is>
      </c>
      <c r="Q29" s="27" t="inlineStr">
        <is>
          <t>Catálogo (deriva de DAS EC-RNF-05)</t>
        </is>
      </c>
      <c r="R29" s="27" t="inlineStr">
        <is>
          <t>Nuevo (no está en el DAS)</t>
        </is>
      </c>
      <c r="S29" s="27" t="inlineStr">
        <is>
          <t>El DAS mide «ESLint y Definition of Done del sprint»; no crea el ID RNF-06.4. Hoy falla App.test.tsx (D-01).</t>
        </is>
      </c>
    </row>
    <row r="30" ht="75" customHeight="1" s="33">
      <c r="A30" s="26" t="inlineStr">
        <is>
          <t>RNF-07.1</t>
        </is>
      </c>
      <c r="B30" s="27" t="inlineStr">
        <is>
          <t>escalabilidad</t>
        </is>
      </c>
      <c r="C30" s="27" t="inlineStr">
        <is>
          <t>Flexibilidad (Portabilidad)</t>
        </is>
      </c>
      <c r="D30" s="27" t="inlineStr">
        <is>
          <t>Escalabilidad</t>
        </is>
      </c>
      <c r="E30" s="27" t="inlineStr">
        <is>
          <t>Multi-tenant</t>
        </is>
      </c>
      <c r="F30" s="27" t="inlineStr">
        <is>
          <t>La plataforma debe aislar cada comercio en su propia base PostgreSQL.</t>
        </is>
      </c>
      <c r="G30" s="27" t="inlineStr">
        <is>
          <t>Tenants compartiendo BD.</t>
        </is>
      </c>
      <c r="H30" s="27" t="inlineStr">
        <is>
          <t>Un cliente = una BD.</t>
        </is>
      </c>
      <c r="I30" s="26" t="inlineStr">
        <is>
          <t>Must (plataforma)</t>
        </is>
      </c>
      <c r="J30" s="26" t="inlineStr">
        <is>
          <t>Plataforma DTemite</t>
        </is>
      </c>
      <c r="K30" s="27" t="inlineStr">
        <is>
          <t>—</t>
        </is>
      </c>
      <c r="L30" s="27" t="inlineStr">
        <is>
          <t>Capas de persistencia (PostgreSQL tenant; «un cliente = una BD» no está literal)</t>
        </is>
      </c>
      <c r="M30" s="27" t="inlineStr">
        <is>
          <t>—</t>
        </is>
      </c>
      <c r="N30" s="27" t="inlineStr">
        <is>
          <t>—</t>
        </is>
      </c>
      <c r="O30" s="26" t="inlineStr">
        <is>
          <t>N/A</t>
        </is>
      </c>
      <c r="P30" s="27" t="inlineStr">
        <is>
          <t>Diego Madrid</t>
        </is>
      </c>
      <c r="Q30" s="27" t="inlineStr">
        <is>
          <t>04-requerimientos (fuera del literal del DAS)</t>
        </is>
      </c>
      <c r="R30" s="27" t="inlineStr">
        <is>
          <t>Repo RNF-07.1 · Fase 1 RNF-07.1</t>
        </is>
      </c>
      <c r="S30" s="27" t="inlineStr">
        <is>
          <t>El DAS menciona base por comercio (PostgreSQL tenant). El criterio «un cliente = una BD» no está literal. Responsabilidad de plataforma; D-PAY lo consume.</t>
        </is>
      </c>
    </row>
    <row r="31" ht="75" customHeight="1" s="33">
      <c r="A31" s="26" t="inlineStr">
        <is>
          <t>RNF-07.2</t>
        </is>
      </c>
      <c r="B31" s="27" t="inlineStr">
        <is>
          <t>escalabilidad</t>
        </is>
      </c>
      <c r="C31" s="27" t="inlineStr">
        <is>
          <t>Flexibilidad (Portabilidad)</t>
        </is>
      </c>
      <c r="D31" s="27" t="inlineStr">
        <is>
          <t>Escalabilidad</t>
        </is>
      </c>
      <c r="E31" s="27" t="inlineStr">
        <is>
          <t>Varios terminales por comercio</t>
        </is>
      </c>
      <c r="F31" s="27" t="inlineStr">
        <is>
          <t>La plataforma debe permitir varios terminales POS por comercio vía Hub.</t>
        </is>
      </c>
      <c r="G31" s="27" t="inlineStr">
        <is>
          <t>Terminales simultáneos soportados.</t>
        </is>
      </c>
      <c r="H31" s="27" t="inlineStr">
        <is>
          <t>≥ 2 terminales del mismo tenant operando.</t>
        </is>
      </c>
      <c r="I31" s="26" t="inlineStr">
        <is>
          <t>Should</t>
        </is>
      </c>
      <c r="J31" s="26" t="inlineStr">
        <is>
          <t>Plataforma DTemite</t>
        </is>
      </c>
      <c r="K31" s="27" t="inlineStr">
        <is>
          <t>CU-08</t>
        </is>
      </c>
      <c r="L31" s="27" t="inlineStr">
        <is>
          <t>Entidad TERMINAL_POS (cardinalidad ≥ 2 no está en el DAS)</t>
        </is>
      </c>
      <c r="M31" s="27" t="inlineStr">
        <is>
          <t>—</t>
        </is>
      </c>
      <c r="N31" s="27" t="inlineStr">
        <is>
          <t>—</t>
        </is>
      </c>
      <c r="O31" s="26" t="inlineStr">
        <is>
          <t>N/A</t>
        </is>
      </c>
      <c r="P31" s="27" t="inlineStr">
        <is>
          <t>Diego Madrid</t>
        </is>
      </c>
      <c r="Q31" s="27" t="inlineStr">
        <is>
          <t>04-requerimientos (cardinalidad fuera del DAS)</t>
        </is>
      </c>
      <c r="R31" s="27" t="inlineStr">
        <is>
          <t>Repo RNF-07.2</t>
        </is>
      </c>
      <c r="S31" s="27" t="inlineStr">
        <is>
          <t>El DAS modela TERMINAL_POS. El umbral «≥ 2 terminales» es del catálogo, no del DAS 1.0.2.</t>
        </is>
      </c>
    </row>
    <row r="32" ht="75" customHeight="1" s="33">
      <c r="A32" s="26" t="inlineStr">
        <is>
          <t>RNF-08.1</t>
        </is>
      </c>
      <c r="B32" s="27" t="inlineStr">
        <is>
          <t>cumplimiento</t>
        </is>
      </c>
      <c r="C32" s="27" t="inlineStr">
        <is>
          <t>Cumplimiento normativo (fuera de ISO 25010)</t>
        </is>
      </c>
      <c r="D32" s="27" t="inlineStr">
        <is>
          <t>Normativa SII</t>
        </is>
      </c>
      <c r="E32" s="27" t="inlineStr">
        <is>
          <t>DTE conforme al SII</t>
        </is>
      </c>
      <c r="F32" s="27" t="inlineStr">
        <is>
          <t>El sistema debe emitir DTE conforme al SII. El DAS meta RNF-08 lista tipos 33, 34, 39, 41 y NC 61; el DAS CU-04 lista 33, 39, exentas y comprobante tipo 0 (tipo 0 no envía DTE al SII).</t>
        </is>
      </c>
      <c r="G32" s="27" t="inlineStr">
        <is>
          <t>DTE rechazados por el SII.</t>
        </is>
      </c>
      <c r="H32" s="27" t="inlineStr">
        <is>
          <t>Cubrir ambas redacciones del DAS 1.0.2 (meta y CU-04) hasta que Diego desempate; el catálogo no elige.</t>
        </is>
      </c>
      <c r="I32" s="26" t="inlineStr">
        <is>
          <t>Must</t>
        </is>
      </c>
      <c r="J32" s="26" t="inlineStr">
        <is>
          <t>Ambos</t>
        </is>
      </c>
      <c r="K32" s="27" t="inlineStr">
        <is>
          <t>CU-04 · CU-06</t>
        </is>
      </c>
      <c r="L32" s="27" t="inlineStr">
        <is>
          <t>Meta Cumplimiento fiscal y CU-04 (redacciones distintas en el mismo DAS)</t>
        </is>
      </c>
      <c r="M32" s="27" t="inlineStr">
        <is>
          <t>TC DTE (Sprint 3)</t>
        </is>
      </c>
      <c r="N32" s="27" t="inlineStr">
        <is>
          <t>—</t>
        </is>
      </c>
      <c r="O32" s="26" t="inlineStr">
        <is>
          <t>Parcial</t>
        </is>
      </c>
      <c r="P32" s="27" t="inlineStr">
        <is>
          <t>Pablo Gutiérrez</t>
        </is>
      </c>
      <c r="Q32" s="27" t="inlineStr">
        <is>
          <t>DAS 1.0.2 (meta RNF-08 y CU-04)</t>
        </is>
      </c>
      <c r="R32" s="27" t="inlineStr">
        <is>
          <t>DoD v1.0 · Repo RNF-08.1 + RNF-08.2 · Fase 1 RNF-08.1</t>
        </is>
      </c>
      <c r="S32" s="27" t="inlineStr">
        <is>
          <t>Operativo en D-PAY 2.0; validación Capstone en Sprint 3.</t>
        </is>
      </c>
    </row>
    <row r="33" ht="75" customHeight="1" s="33">
      <c r="A33" s="26" t="inlineStr">
        <is>
          <t>RNF-08.2</t>
        </is>
      </c>
      <c r="B33" s="27" t="inlineStr">
        <is>
          <t>cumplimiento</t>
        </is>
      </c>
      <c r="C33" s="27" t="inlineStr">
        <is>
          <t>Cumplimiento normativo (fuera de ISO 25010)</t>
        </is>
      </c>
      <c r="D33" s="27" t="inlineStr">
        <is>
          <t>PCI-DSS</t>
        </is>
      </c>
      <c r="E33" s="27" t="inlineStr">
        <is>
          <t>Tarjeta fuera de D-PAY</t>
        </is>
      </c>
      <c r="F33" s="27" t="inlineStr">
        <is>
          <t>D-PAY no debe procesar ni almacenar PAN en servidores propios; el dato de tarjeta queda en TUU o Transbank.</t>
        </is>
      </c>
      <c r="G33" s="27" t="inlineStr">
        <is>
          <t>Flujos donde D-PAY recibe PAN.</t>
        </is>
      </c>
      <c r="H33" s="27" t="inlineStr">
        <is>
          <t>0 flujos con PAN en D-PAY o proxy.</t>
        </is>
      </c>
      <c r="I33" s="26" t="inlineStr">
        <is>
          <t>Must</t>
        </is>
      </c>
      <c r="J33" s="26" t="inlineStr">
        <is>
          <t>Ambos</t>
        </is>
      </c>
      <c r="K33" s="27" t="inlineStr">
        <is>
          <t>CA-WP.2</t>
        </is>
      </c>
      <c r="L33" s="27" t="inlineStr">
        <is>
          <t>ADR-05 · ADR-07</t>
        </is>
      </c>
      <c r="M33" s="27" t="inlineStr">
        <is>
          <t>TC-SEC</t>
        </is>
      </c>
      <c r="N33" s="27" t="inlineStr">
        <is>
          <t>Ver RNF-02.4</t>
        </is>
      </c>
      <c r="O33" s="26" t="inlineStr">
        <is>
          <t>OK</t>
        </is>
      </c>
      <c r="P33" s="27" t="inlineStr">
        <is>
          <t>Reinhartd Munzenmayer</t>
        </is>
      </c>
      <c r="Q33" s="27" t="inlineStr">
        <is>
          <t>DAS 1.0.2 ADR-05 · ADR-07</t>
        </is>
      </c>
      <c r="R33" s="27" t="inlineStr">
        <is>
          <t>04-requerimientos · Repo RNF-08.3</t>
        </is>
      </c>
      <c r="S33" s="27" t="inlineStr">
        <is>
          <t>Alineado con el DAS (tarjeta fuera de D-PAY). Complementa RNF-02.4.</t>
        </is>
      </c>
    </row>
    <row r="34" ht="75" customHeight="1" s="33">
      <c r="A34" s="26" t="inlineStr">
        <is>
          <t>RNF-09.1</t>
        </is>
      </c>
      <c r="B34" s="27" t="inlineStr">
        <is>
          <t>seguridad</t>
        </is>
      </c>
      <c r="C34" s="27" t="inlineStr">
        <is>
          <t>Seguridad</t>
        </is>
      </c>
      <c r="D34" s="27" t="inlineStr">
        <is>
          <t>Confidencialidad</t>
        </is>
      </c>
      <c r="E34" s="27" t="inlineStr">
        <is>
          <t>Repositorio público sin secretos</t>
        </is>
      </c>
      <c r="F34" s="27" t="inlineStr">
        <is>
          <t>El repositorio público no debe contener secretos ni datos productivos del mandante.</t>
        </is>
      </c>
      <c r="G34" s="27" t="inlineStr">
        <is>
          <t>Secretos detectados por escaneo.</t>
        </is>
      </c>
      <c r="H34" s="27" t="inlineStr">
        <is>
          <t>0 hallazgos en escaneo de secretos.</t>
        </is>
      </c>
      <c r="I34" s="26" t="inlineStr">
        <is>
          <t>Must</t>
        </is>
      </c>
      <c r="J34" s="26" t="inlineStr">
        <is>
          <t>Ambos</t>
        </is>
      </c>
      <c r="K34" s="27" t="inlineStr">
        <is>
          <t>—</t>
        </is>
      </c>
      <c r="L34" s="27" t="inlineStr">
        <is>
          <t>Restricción «Confidencialidad académica»</t>
        </is>
      </c>
      <c r="M34" s="27" t="inlineStr">
        <is>
          <t>TC-SEC</t>
        </is>
      </c>
      <c r="N34" s="27" t="inlineStr">
        <is>
          <t>Auditoría COD-03</t>
        </is>
      </c>
      <c r="O34" s="26" t="inlineStr">
        <is>
          <t>OK</t>
        </is>
      </c>
      <c r="P34" s="27" t="inlineStr">
        <is>
          <t>Reinhartd Munzenmayer</t>
        </is>
      </c>
      <c r="Q34" s="27" t="inlineStr">
        <is>
          <t>DAS 1.0.2 restricción «Confidencialidad académica»</t>
        </is>
      </c>
      <c r="R34" s="27" t="inlineStr">
        <is>
          <t>DoD v1.0 · Repo RNF-09.3</t>
        </is>
      </c>
      <c r="S34" s="27" t="n"/>
    </row>
    <row r="35" ht="75" customHeight="1" s="33">
      <c r="A35" s="26" t="inlineStr">
        <is>
          <t>RNF-09.2</t>
        </is>
      </c>
      <c r="B35" s="27" t="inlineStr">
        <is>
          <t>operacion</t>
        </is>
      </c>
      <c r="C35" s="27" t="inlineStr">
        <is>
          <t>Flexibilidad (Portabilidad)</t>
        </is>
      </c>
      <c r="D35" s="27" t="inlineStr">
        <is>
          <t>Instalabilidad</t>
        </is>
      </c>
      <c r="E35" s="27" t="inlineStr">
        <is>
          <t>Entornos debug/QA y release/producción</t>
        </is>
      </c>
      <c r="F35" s="27" t="inlineStr">
        <is>
          <t>Las builds debug deben apuntar a QA (proqa.dtemite.cl) y las release a producción.</t>
        </is>
      </c>
      <c r="G35" s="27" t="inlineStr">
        <is>
          <t>Builds apuntando al entorno equivocado.</t>
        </is>
      </c>
      <c r="H35" s="27" t="inlineStr">
        <is>
          <t>Debug → QA; release → producción.</t>
        </is>
      </c>
      <c r="I35" s="26" t="inlineStr">
        <is>
          <t>Must</t>
        </is>
      </c>
      <c r="J35" s="26" t="inlineStr">
        <is>
          <t>Ambos</t>
        </is>
      </c>
      <c r="K35" s="27" t="inlineStr">
        <is>
          <t>—</t>
        </is>
      </c>
      <c r="L35" s="27" t="inlineStr">
        <is>
          <t>Meta Operatividad</t>
        </is>
      </c>
      <c r="M35" s="27" t="inlineStr">
        <is>
          <t>Revisión de configuración</t>
        </is>
      </c>
      <c r="N35" s="27" t="inlineStr">
        <is>
          <t>Manual DOC-05</t>
        </is>
      </c>
      <c r="O35" s="26" t="inlineStr">
        <is>
          <t>OK</t>
        </is>
      </c>
      <c r="P35" s="27" t="inlineStr">
        <is>
          <t>Diego Madrid</t>
        </is>
      </c>
      <c r="Q35" s="27" t="inlineStr">
        <is>
          <t>DAS 1.0.2 Meta Operatividad (URLs no están en el DAS)</t>
        </is>
      </c>
      <c r="R35" s="27" t="inlineStr">
        <is>
          <t>04-requerimientos · Repo RNF-09.1</t>
        </is>
      </c>
      <c r="S35" s="27" t="inlineStr">
        <is>
          <t>Operacionalización del catálogo.</t>
        </is>
      </c>
    </row>
    <row r="36" ht="75" customHeight="1" s="33">
      <c r="A36" s="26" t="inlineStr">
        <is>
          <t>RNF-09.3</t>
        </is>
      </c>
      <c r="B36" s="27" t="inlineStr">
        <is>
          <t>operacion</t>
        </is>
      </c>
      <c r="C36" s="27" t="inlineStr">
        <is>
          <t>Flexibilidad (Portabilidad)</t>
        </is>
      </c>
      <c r="D36" s="27" t="inlineStr">
        <is>
          <t>Instalabilidad</t>
        </is>
      </c>
      <c r="E36" s="27" t="inlineStr">
        <is>
          <t>APK release reproducible</t>
        </is>
      </c>
      <c r="F36" s="27" t="inlineStr">
        <is>
          <t>El APK release debe poder generarse de forma documentada y reproducible.</t>
        </is>
      </c>
      <c r="G36" s="27" t="inlineStr">
        <is>
          <t>Pasos manuales fuera del procedimiento documentado.</t>
        </is>
      </c>
      <c r="H36" s="27" t="inlineStr">
        <is>
          <t>APK firmado generado con el procedimiento documentado.</t>
        </is>
      </c>
      <c r="I36" s="26" t="inlineStr">
        <is>
          <t>Must</t>
        </is>
      </c>
      <c r="J36" s="26" t="inlineStr">
        <is>
          <t>Ambos</t>
        </is>
      </c>
      <c r="K36" s="27" t="inlineStr">
        <is>
          <t>—</t>
        </is>
      </c>
      <c r="L36" s="27" t="inlineStr">
        <is>
          <t>Meta Operatividad</t>
        </is>
      </c>
      <c r="M36" s="27" t="inlineStr">
        <is>
          <t>Build</t>
        </is>
      </c>
      <c r="N36" s="27" t="inlineStr">
        <is>
          <t>APK debug v2.7.0 (19/09)</t>
        </is>
      </c>
      <c r="O36" s="26" t="inlineStr">
        <is>
          <t>Parcial</t>
        </is>
      </c>
      <c r="P36" s="27" t="inlineStr">
        <is>
          <t>Diego Madrid</t>
        </is>
      </c>
      <c r="Q36" s="27" t="inlineStr">
        <is>
          <t>DAS 1.0.2 Meta Operatividad (script/Docker no están en el DAS)</t>
        </is>
      </c>
      <c r="R36" s="27" t="inlineStr">
        <is>
          <t>04-requerimientos · Repo RNF-09.2</t>
        </is>
      </c>
      <c r="S36" s="27" t="inlineStr">
        <is>
          <t>«npm run build:apk» y «sin contenedores» ; son restricción de proyecto documentada en este catálogo. Debug validado en celular Android; release firmada pendiente S15.</t>
        </is>
      </c>
    </row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autoFilter ref="$A$4:$S$36"/>
  <mergeCells count="2">
    <mergeCell ref="A2:S2"/>
    <mergeCell ref="A1:S1"/>
  </mergeCells>
  <conditionalFormatting sqref="O5:O1000">
    <cfRule type="cellIs" priority="1" operator="equal" dxfId="5">
      <formula>"OK"</formula>
    </cfRule>
    <cfRule type="cellIs" priority="2" operator="equal" dxfId="6">
      <formula>"Parcial"</formula>
    </cfRule>
    <cfRule type="cellIs" priority="3" operator="equal" dxfId="7">
      <formula>"NOK"</formula>
    </cfRule>
    <cfRule type="cellIs" priority="4" operator="equal" dxfId="8">
      <formula>"Bloqueado"</formula>
    </cfRule>
    <cfRule type="cellIs" priority="5" operator="equal" dxfId="9">
      <formula>"No ejecutado"</formula>
    </cfRule>
    <cfRule type="cellIs" priority="6" operator="equal" dxfId="10">
      <formula>"N/A"</formula>
    </cfRule>
    <cfRule type="cellIs" priority="7" operator="equal" dxfId="11">
      <formula>"Propuesto"</formula>
    </cfRule>
  </conditionalFormatting>
  <conditionalFormatting sqref="J5:J1000">
    <cfRule type="expression" priority="8" dxfId="12">
      <formula>$J5="D-PAY 2.0 Kozen"</formula>
    </cfRule>
  </conditionalFormatting>
  <printOptions horizontalCentered="1"/>
  <pageMargins left="0.75" right="0.75" top="1" bottom="1" header="0" footer="0"/>
  <pageSetup orientation="landscape" fitToHeight="0"/>
  <headerFooter>
    <oddHeader/>
    <oddFooter>&amp;CD-PAY 3.0 · Catálogo RNF · Página &amp;P de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11" customWidth="1" style="33" min="1" max="1"/>
    <col width="20" customWidth="1" style="33" min="2" max="2"/>
    <col width="18" customWidth="1" style="33" min="3" max="3"/>
    <col width="26" customWidth="1" style="33" min="4" max="4"/>
    <col width="20" customWidth="1" style="33" min="5" max="6"/>
    <col width="30" customWidth="1" style="33" min="7" max="8"/>
    <col width="22" customWidth="1" style="33" min="9" max="9"/>
    <col width="18" customWidth="1" style="33" min="10" max="10"/>
    <col width="32" customWidth="1" style="33" min="11" max="11"/>
    <col width="8.710000000000001" customWidth="1" style="33" min="12" max="26"/>
  </cols>
  <sheetData>
    <row r="1" ht="30" customHeight="1" s="33">
      <c r="A1" s="39" t="inlineStr">
        <is>
          <t>Escenarios de calidad (DAS §Vista de escenarios)</t>
        </is>
      </c>
    </row>
    <row r="2" ht="19.5" customHeight="1" s="33">
      <c r="A2" s="40" t="inlineStr">
        <is>
          <t>EC-RNF-01…05 vigentes en DAS 1.0.2 · EC-RNF-06…09 solo en este catálogo (fuera del DAS; el DAS no se modifica)</t>
        </is>
      </c>
    </row>
    <row r="4" ht="31.5" customHeight="1" s="33">
      <c r="A4" s="18" t="inlineStr">
        <is>
          <t>ID</t>
        </is>
      </c>
      <c r="B4" s="18" t="inlineStr">
        <is>
          <t>Atributo</t>
        </is>
      </c>
      <c r="C4" s="18" t="inlineStr">
        <is>
          <t>Fuente del estímulo</t>
        </is>
      </c>
      <c r="D4" s="18" t="inlineStr">
        <is>
          <t>Estímulo</t>
        </is>
      </c>
      <c r="E4" s="18" t="inlineStr">
        <is>
          <t>Artefacto</t>
        </is>
      </c>
      <c r="F4" s="18" t="inlineStr">
        <is>
          <t>Ambiente</t>
        </is>
      </c>
      <c r="G4" s="18" t="inlineStr">
        <is>
          <t>Respuesta</t>
        </is>
      </c>
      <c r="H4" s="18" t="inlineStr">
        <is>
          <t>Medida</t>
        </is>
      </c>
      <c r="I4" s="18" t="inlineStr">
        <is>
          <t>RNF trazados</t>
        </is>
      </c>
      <c r="J4" s="18" t="inlineStr">
        <is>
          <t>Estado</t>
        </is>
      </c>
      <c r="K4" s="18" t="inlineStr">
        <is>
          <t>Observación</t>
        </is>
      </c>
    </row>
    <row r="5" ht="69.75" customHeight="1" s="33">
      <c r="A5" s="27" t="inlineStr">
        <is>
          <t>EC-RNF-01</t>
        </is>
      </c>
      <c r="B5" s="27" t="inlineStr">
        <is>
          <t>Usabilidad</t>
        </is>
      </c>
      <c r="C5" s="27" t="inlineStr">
        <is>
          <t>Cajero</t>
        </is>
      </c>
      <c r="D5" s="27" t="inlineStr">
        <is>
          <t>Cerrar venta con cliente esperando</t>
        </is>
      </c>
      <c r="E5" s="27" t="inlineStr">
        <is>
          <t>App D-PAY (flujo venta)</t>
        </is>
      </c>
      <c r="F5" s="27" t="inlineStr">
        <is>
          <t>Operación normal, pantalla 5"–6"</t>
        </is>
      </c>
      <c r="G5" s="27" t="inlineStr">
        <is>
          <t>Flujo con pocos toques y mensajes claros en español</t>
        </is>
      </c>
      <c r="H5" s="27" t="inlineStr">
        <is>
          <t>Venta efectivo + boleta en menos de 2 minutos en prueba guiada (texto DAS)</t>
        </is>
      </c>
      <c r="I5" s="27" t="inlineStr">
        <is>
          <t>RNF-04.2 · RNF-04.3 · RNF-04.1</t>
        </is>
      </c>
      <c r="J5" s="27" t="inlineStr">
        <is>
          <t>Vigente (DAS 1.0.2)</t>
        </is>
      </c>
      <c r="K5" s="27" t="inlineStr">
        <is>
          <t>Fuente y Artefacto son de esta hoja (SEI). El DAS 1.0.2 no los trae y no se modifica.</t>
        </is>
      </c>
    </row>
    <row r="6" ht="69.75" customHeight="1" s="33">
      <c r="A6" s="27" t="inlineStr">
        <is>
          <t>EC-RNF-02</t>
        </is>
      </c>
      <c r="B6" s="27" t="inlineStr">
        <is>
          <t>Eficiencia de desempeño</t>
        </is>
      </c>
      <c r="C6" s="27" t="inlineStr">
        <is>
          <t>Cajero</t>
        </is>
      </c>
      <c r="D6" s="27" t="inlineStr">
        <is>
          <t>Confirmar venta con documento tributario</t>
        </is>
      </c>
      <c r="E6" s="27" t="inlineStr">
        <is>
          <t>Servicio de emisión DTE</t>
        </is>
      </c>
      <c r="F6" s="27" t="inlineStr">
        <is>
          <t>Red móvil estable (QA)</t>
        </is>
      </c>
      <c r="G6" s="27" t="inlineStr">
        <is>
          <t>Folio asignado y comprobante disponible</t>
        </is>
      </c>
      <c r="H6" s="27" t="inlineStr">
        <is>
          <t>Hasta 15 s desde confirmación hasta folio, promedio 5 muestras (texto DAS)</t>
        </is>
      </c>
      <c r="I6" s="27" t="inlineStr">
        <is>
          <t>RNF-01.4</t>
        </is>
      </c>
      <c r="J6" s="27" t="inlineStr">
        <is>
          <t>Vigente (DAS 1.0.2)</t>
        </is>
      </c>
      <c r="K6" s="27" t="inlineStr">
        <is>
          <t>Se conserva «red móvil estable (QA)» del DAS. El entorno de prueba se documenta en DOC-07.</t>
        </is>
      </c>
    </row>
    <row r="7" ht="69.75" customHeight="1" s="33">
      <c r="A7" s="27" t="inlineStr">
        <is>
          <t>EC-RNF-03</t>
        </is>
      </c>
      <c r="B7" s="27" t="inlineStr">
        <is>
          <t>Seguridad</t>
        </is>
      </c>
      <c r="C7" s="27" t="inlineStr">
        <is>
          <t>Atacante con acceso al dispositivo</t>
        </is>
      </c>
      <c r="D7" s="27" t="inlineStr">
        <is>
          <t>Inspección de almacenamiento</t>
        </is>
      </c>
      <c r="E7" s="27" t="inlineStr">
        <is>
          <t>MMKV, SQLite proxy, repositorio</t>
        </is>
      </c>
      <c r="F7" s="27" t="inlineStr">
        <is>
          <t>(El DAS no declara Ambiente)</t>
        </is>
      </c>
      <c r="G7" s="27" t="inlineStr">
        <is>
          <t>Sin PAN/CVV persistidos; token no legible en texto plano</t>
        </is>
      </c>
      <c r="H7" s="27" t="inlineStr">
        <is>
          <t>Checklist de seguridad; ausencia de secretos en repositorio (texto DAS)</t>
        </is>
      </c>
      <c r="I7" s="27" t="inlineStr">
        <is>
          <t>RNF-02.1 · 02.2 · 02.4 · 02.5 · 09.1</t>
        </is>
      </c>
      <c r="J7" s="27" t="inlineStr">
        <is>
          <t>Vigente (DAS 1.0.2)</t>
        </is>
      </c>
      <c r="K7" s="27" t="inlineStr">
        <is>
          <t>El catálogo cita DOC-07 04_Seguridad como checklist. El DAS no se modifica.</t>
        </is>
      </c>
    </row>
    <row r="8" ht="69.75" customHeight="1" s="33">
      <c r="A8" s="27" t="inlineStr">
        <is>
          <t>EC-RNF-04</t>
        </is>
      </c>
      <c r="B8" s="27" t="inlineStr">
        <is>
          <t>Disponibilidad</t>
        </is>
      </c>
      <c r="C8" s="27" t="inlineStr">
        <is>
          <t>Red móvil</t>
        </is>
      </c>
      <c r="D8" s="27" t="inlineStr">
        <is>
          <t>Pérdida de conectividad durante la venta</t>
        </is>
      </c>
      <c r="E8" s="27" t="inlineStr">
        <is>
          <t>Cola MMKV</t>
        </is>
      </c>
      <c r="F8" s="27" t="inlineStr">
        <is>
          <t>(El DAS no declara Ambiente)</t>
        </is>
      </c>
      <c r="G8" s="27" t="inlineStr">
        <is>
          <t>Venta en efectivo en cola local; DTE al recuperar red</t>
        </is>
      </c>
      <c r="H8" s="27" t="inlineStr">
        <is>
          <t>Caso de prueba definido; cero pérdida de carrito (texto DAS)</t>
        </is>
      </c>
      <c r="I8" s="27" t="inlineStr">
        <is>
          <t>RNF-03.1</t>
        </is>
      </c>
      <c r="J8" s="27" t="inlineStr">
        <is>
          <t>Vigente (DAS 1.0.2)</t>
        </is>
      </c>
      <c r="K8" s="27" t="inlineStr">
        <is>
          <t>El catálogo operacionaliza la medida en TC-RNF03 (0 carritos). El DAS no se modifica.</t>
        </is>
      </c>
    </row>
    <row r="9" ht="69.75" customHeight="1" s="33">
      <c r="A9" s="27" t="inlineStr">
        <is>
          <t>EC-RNF-05</t>
        </is>
      </c>
      <c r="B9" s="27" t="inlineStr">
        <is>
          <t>Mantenibilidad</t>
        </is>
      </c>
      <c r="C9" s="27" t="inlineStr">
        <is>
          <t>Par revisor</t>
        </is>
      </c>
      <c r="D9" s="27" t="inlineStr">
        <is>
          <t>Revisión de código</t>
        </is>
      </c>
      <c r="E9" s="27" t="inlineStr">
        <is>
          <t>Repositorio dpay_3.0</t>
        </is>
      </c>
      <c r="F9" s="27" t="inlineStr">
        <is>
          <t>(El DAS no declara Ambiente)</t>
        </is>
      </c>
      <c r="G9" s="27" t="inlineStr">
        <is>
          <t>Separación stores / services / screens; TypeScript estructurado</t>
        </is>
      </c>
      <c r="H9" s="27" t="inlineStr">
        <is>
          <t>ESLint y Definition of Done del sprint (texto DAS)</t>
        </is>
      </c>
      <c r="I9" s="27" t="inlineStr">
        <is>
          <t>RNF-06.1 · 06.2 · 06.4</t>
        </is>
      </c>
      <c r="J9" s="27" t="inlineStr">
        <is>
          <t>Vigente (DAS 1.0.2)</t>
        </is>
      </c>
      <c r="K9" s="27" t="inlineStr">
        <is>
          <t>RNF-06.4 es ID del catálogo derivado de esta medida; el DAS no crea ese ID.</t>
        </is>
      </c>
    </row>
    <row r="10" ht="69.75" customHeight="1" s="33">
      <c r="A10" s="27" t="inlineStr">
        <is>
          <t>EC-RNF-06</t>
        </is>
      </c>
      <c r="B10" s="27" t="inlineStr">
        <is>
          <t>Compatibilidad / Portabilidad</t>
        </is>
      </c>
      <c r="C10" s="27" t="inlineStr">
        <is>
          <t>Cajero</t>
        </is>
      </c>
      <c r="D10" s="27" t="inlineStr">
        <is>
          <t>Abrir cobro con tarjeta</t>
        </is>
      </c>
      <c r="E10" s="27" t="inlineStr">
        <is>
          <t>PaymentGatewayFactory</t>
        </is>
      </c>
      <c r="F10" s="27" t="inlineStr">
        <is>
          <t>Kozen con TUU o celular genérico</t>
        </is>
      </c>
      <c r="G10" s="27" t="inlineStr">
        <is>
          <t>Ofrece TUU en Kozen y Webpay en genérico</t>
        </is>
      </c>
      <c r="H10" s="27" t="inlineStr">
        <is>
          <t>100 % de selección correcta en tests de factory + smoke por perfil</t>
        </is>
      </c>
      <c r="I10" s="27" t="inlineStr">
        <is>
          <t>RNF-05.2 · RNF-05.3 · RNF-06.2</t>
        </is>
      </c>
      <c r="J10" s="27" t="inlineStr">
        <is>
          <t>Fuera del DAS 1.0.2</t>
        </is>
      </c>
      <c r="K10" s="27" t="inlineStr">
        <is>
          <t>Solo en este catálogo. El DAS describe Kozen/genérico en restricciones, sin escenario de calidad. El DAS no se modifica.</t>
        </is>
      </c>
    </row>
    <row r="11" ht="69.75" customHeight="1" s="33">
      <c r="A11" s="27" t="inlineStr">
        <is>
          <t>EC-RNF-07</t>
        </is>
      </c>
      <c r="B11" s="27" t="inlineStr">
        <is>
          <t>Fiabilidad (tolerancia a fallos)</t>
        </is>
      </c>
      <c r="C11" s="27" t="inlineStr">
        <is>
          <t>Proxy Webpay</t>
        </is>
      </c>
      <c r="D11" s="27" t="inlineStr">
        <is>
          <t>Proxy caído o sin URL</t>
        </is>
      </c>
      <c r="E11" s="27" t="inlineStr">
        <is>
          <t>Selector de pasarela</t>
        </is>
      </c>
      <c r="F11" s="27" t="inlineStr">
        <is>
          <t>Celular genérico</t>
        </is>
      </c>
      <c r="G11" s="27" t="inlineStr">
        <is>
          <t>Webpay no se ofrece o se informa que la tarjeta no está disponible</t>
        </is>
      </c>
      <c r="H11" s="27" t="inlineStr">
        <is>
          <t>0 cobros iniciados contra proxy caído (CA-WP.5)</t>
        </is>
      </c>
      <c r="I11" s="27" t="inlineStr">
        <is>
          <t>RNF-03.2</t>
        </is>
      </c>
      <c r="J11" s="27" t="inlineStr">
        <is>
          <t>Fuera del DAS 1.0.2</t>
        </is>
      </c>
      <c r="K11" s="27" t="inlineStr">
        <is>
          <t>Solo en este catálogo (cubre DEF-NET / DEF-CFG). El DAS no se modifica.</t>
        </is>
      </c>
    </row>
    <row r="12" ht="69.75" customHeight="1" s="33">
      <c r="A12" s="27" t="inlineStr">
        <is>
          <t>EC-RNF-08</t>
        </is>
      </c>
      <c r="B12" s="27" t="inlineStr">
        <is>
          <t>Eficiencia de desempeño</t>
        </is>
      </c>
      <c r="C12" s="27" t="inlineStr">
        <is>
          <t>Cajero</t>
        </is>
      </c>
      <c r="D12" s="27" t="inlineStr">
        <is>
          <t>Confirmar monto con tarjeta</t>
        </is>
      </c>
      <c r="E12" s="27" t="inlineStr">
        <is>
          <t>Intent TUU</t>
        </is>
      </c>
      <c r="F12" s="27" t="inlineStr">
        <is>
          <t>Kozen P8 Neo en operación</t>
        </is>
      </c>
      <c r="G12" s="27" t="inlineStr">
        <is>
          <t>Pantalla TUU visible</t>
        </is>
      </c>
      <c r="H12" s="27" t="inlineStr">
        <is>
          <t>&lt; 2 s (umbral DoD, no DAS)</t>
        </is>
      </c>
      <c r="I12" s="27" t="inlineStr">
        <is>
          <t>RNF-01.2</t>
        </is>
      </c>
      <c r="J12" s="27" t="inlineStr">
        <is>
          <t>Fuera del DAS 1.0.2</t>
        </is>
      </c>
      <c r="K12" s="27" t="inlineStr">
        <is>
          <t>Solo en este catálogo. Línea base D-PAY 2.0 (Diego). El DAS no se modifica.</t>
        </is>
      </c>
    </row>
    <row r="13" ht="69.75" customHeight="1" s="33">
      <c r="A13" s="27" t="inlineStr">
        <is>
          <t>EC-RNF-09</t>
        </is>
      </c>
      <c r="B13" s="27" t="inlineStr">
        <is>
          <t>Eficiencia de desempeño</t>
        </is>
      </c>
      <c r="C13" s="27" t="inlineStr">
        <is>
          <t>Cajero</t>
        </is>
      </c>
      <c r="D13" s="27" t="inlineStr">
        <is>
          <t>Confirmar pago Webpay</t>
        </is>
      </c>
      <c r="E13" s="27" t="inlineStr">
        <is>
          <t>webpay-proxy + Transbank</t>
        </is>
      </c>
      <c r="F13" s="27" t="inlineStr">
        <is>
          <t>Wi-Fi LAN con proxy</t>
        </is>
      </c>
      <c r="G13" s="27" t="inlineStr">
        <is>
          <t>Checkout Transbank abierto</t>
        </is>
      </c>
      <c r="H13" s="27" t="inlineStr">
        <is>
          <t>&lt; 10 s, 5 muestras (umbral DoD, no DAS)</t>
        </is>
      </c>
      <c r="I13" s="27" t="inlineStr">
        <is>
          <t>RNF-01.5</t>
        </is>
      </c>
      <c r="J13" s="27" t="inlineStr">
        <is>
          <t>Fuera del DAS 1.0.2</t>
        </is>
      </c>
      <c r="K13" s="27" t="inlineStr">
        <is>
          <t>Solo en este catálogo. El DAS incluye Webpay sin umbral de 10 s. El DAS no se modifica.</t>
        </is>
      </c>
    </row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autoFilter ref="$A$4:$K$13"/>
  <mergeCells count="2">
    <mergeCell ref="A2:K2"/>
    <mergeCell ref="A1:K1"/>
  </mergeCells>
  <printOptions horizontalCentered="1"/>
  <pageMargins left="0.75" right="0.75" top="1" bottom="1" header="0" footer="0"/>
  <pageSetup orientation="landscape" fitToHeight="0"/>
  <headerFooter>
    <oddHeader/>
    <oddFooter>&amp;CD-PAY 3.0 · Catálogo RNF · Página &amp;P de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selection activeCell="A1" sqref="A1"/>
    </sheetView>
  </sheetViews>
  <sheetFormatPr baseColWidth="8" defaultColWidth="14.43" defaultRowHeight="15" customHeight="1"/>
  <cols>
    <col width="36" customWidth="1" style="33" min="1" max="1"/>
    <col width="13" customWidth="1" style="33" min="2" max="9"/>
    <col width="8.710000000000001" customWidth="1" style="33" min="10" max="26"/>
  </cols>
  <sheetData>
    <row r="1" ht="30" customHeight="1" s="33">
      <c r="A1" s="39" t="inlineStr">
        <is>
          <t>Tablero de control RNF</t>
        </is>
      </c>
    </row>
    <row r="2" ht="19.5" customHeight="1" s="33">
      <c r="A2" s="40" t="inlineStr">
        <is>
          <t>Conteos calculados desde la hoja Catálogo RNF</t>
        </is>
      </c>
    </row>
    <row r="4">
      <c r="A4" s="18" t="inlineStr">
        <is>
          <t>Tipo</t>
        </is>
      </c>
      <c r="B4" s="18" t="inlineStr">
        <is>
          <t>OK</t>
        </is>
      </c>
      <c r="C4" s="18" t="inlineStr">
        <is>
          <t>Parcial</t>
        </is>
      </c>
      <c r="D4" s="18" t="inlineStr">
        <is>
          <t>NOK</t>
        </is>
      </c>
      <c r="E4" s="18" t="inlineStr">
        <is>
          <t>No ejecutado</t>
        </is>
      </c>
      <c r="F4" s="18" t="inlineStr">
        <is>
          <t>Bloqueado</t>
        </is>
      </c>
      <c r="G4" s="18" t="inlineStr">
        <is>
          <t>N/A</t>
        </is>
      </c>
      <c r="H4" s="18" t="inlineStr">
        <is>
          <t>Propuesto</t>
        </is>
      </c>
      <c r="I4" s="18" t="inlineStr">
        <is>
          <t>Total</t>
        </is>
      </c>
    </row>
    <row r="5">
      <c r="A5" s="17" t="inlineStr">
        <is>
          <t>rendimiento</t>
        </is>
      </c>
      <c r="B5" s="20">
        <f>COUNTIFS('Catálogo RNF'!$B:$B,$A5,'Catálogo RNF'!$O:$O,"OK")</f>
        <v/>
      </c>
      <c r="C5" s="20">
        <f>COUNTIFS('Catálogo RNF'!$B:$B,$A5,'Catálogo RNF'!$O:$O,"Parcial")</f>
        <v/>
      </c>
      <c r="D5" s="20">
        <f>COUNTIFS('Catálogo RNF'!$B:$B,$A5,'Catálogo RNF'!$O:$O,"NOK")</f>
        <v/>
      </c>
      <c r="E5" s="20">
        <f>COUNTIFS('Catálogo RNF'!$B:$B,$A5,'Catálogo RNF'!$O:$O,"No ejecutado")</f>
        <v/>
      </c>
      <c r="F5" s="20">
        <f>COUNTIFS('Catálogo RNF'!$B:$B,$A5,'Catálogo RNF'!$O:$O,"Bloqueado")</f>
        <v/>
      </c>
      <c r="G5" s="20">
        <f>COUNTIFS('Catálogo RNF'!$B:$B,$A5,'Catálogo RNF'!$O:$O,"N/A")</f>
        <v/>
      </c>
      <c r="H5" s="20">
        <f>COUNTIFS('Catálogo RNF'!$B:$B,$A5,'Catálogo RNF'!$O:$O,"Propuesto")</f>
        <v/>
      </c>
      <c r="I5" s="25">
        <f>SUM(B5:H5)</f>
        <v/>
      </c>
    </row>
    <row r="6">
      <c r="A6" s="17" t="inlineStr">
        <is>
          <t>seguridad</t>
        </is>
      </c>
      <c r="B6" s="20">
        <f>COUNTIFS('Catálogo RNF'!$B:$B,$A6,'Catálogo RNF'!$O:$O,"OK")</f>
        <v/>
      </c>
      <c r="C6" s="20">
        <f>COUNTIFS('Catálogo RNF'!$B:$B,$A6,'Catálogo RNF'!$O:$O,"Parcial")</f>
        <v/>
      </c>
      <c r="D6" s="20">
        <f>COUNTIFS('Catálogo RNF'!$B:$B,$A6,'Catálogo RNF'!$O:$O,"NOK")</f>
        <v/>
      </c>
      <c r="E6" s="20">
        <f>COUNTIFS('Catálogo RNF'!$B:$B,$A6,'Catálogo RNF'!$O:$O,"No ejecutado")</f>
        <v/>
      </c>
      <c r="F6" s="20">
        <f>COUNTIFS('Catálogo RNF'!$B:$B,$A6,'Catálogo RNF'!$O:$O,"Bloqueado")</f>
        <v/>
      </c>
      <c r="G6" s="20">
        <f>COUNTIFS('Catálogo RNF'!$B:$B,$A6,'Catálogo RNF'!$O:$O,"N/A")</f>
        <v/>
      </c>
      <c r="H6" s="20">
        <f>COUNTIFS('Catálogo RNF'!$B:$B,$A6,'Catálogo RNF'!$O:$O,"Propuesto")</f>
        <v/>
      </c>
      <c r="I6" s="25">
        <f>SUM(B6:H6)</f>
        <v/>
      </c>
    </row>
    <row r="7">
      <c r="A7" s="17" t="inlineStr">
        <is>
          <t>disponibilidad</t>
        </is>
      </c>
      <c r="B7" s="20">
        <f>COUNTIFS('Catálogo RNF'!$B:$B,$A7,'Catálogo RNF'!$O:$O,"OK")</f>
        <v/>
      </c>
      <c r="C7" s="20">
        <f>COUNTIFS('Catálogo RNF'!$B:$B,$A7,'Catálogo RNF'!$O:$O,"Parcial")</f>
        <v/>
      </c>
      <c r="D7" s="20">
        <f>COUNTIFS('Catálogo RNF'!$B:$B,$A7,'Catálogo RNF'!$O:$O,"NOK")</f>
        <v/>
      </c>
      <c r="E7" s="20">
        <f>COUNTIFS('Catálogo RNF'!$B:$B,$A7,'Catálogo RNF'!$O:$O,"No ejecutado")</f>
        <v/>
      </c>
      <c r="F7" s="20">
        <f>COUNTIFS('Catálogo RNF'!$B:$B,$A7,'Catálogo RNF'!$O:$O,"Bloqueado")</f>
        <v/>
      </c>
      <c r="G7" s="20">
        <f>COUNTIFS('Catálogo RNF'!$B:$B,$A7,'Catálogo RNF'!$O:$O,"N/A")</f>
        <v/>
      </c>
      <c r="H7" s="20">
        <f>COUNTIFS('Catálogo RNF'!$B:$B,$A7,'Catálogo RNF'!$O:$O,"Propuesto")</f>
        <v/>
      </c>
      <c r="I7" s="25">
        <f>SUM(B7:H7)</f>
        <v/>
      </c>
    </row>
    <row r="8">
      <c r="A8" s="17" t="inlineStr">
        <is>
          <t>usabilidad</t>
        </is>
      </c>
      <c r="B8" s="20">
        <f>COUNTIFS('Catálogo RNF'!$B:$B,$A8,'Catálogo RNF'!$O:$O,"OK")</f>
        <v/>
      </c>
      <c r="C8" s="20">
        <f>COUNTIFS('Catálogo RNF'!$B:$B,$A8,'Catálogo RNF'!$O:$O,"Parcial")</f>
        <v/>
      </c>
      <c r="D8" s="20">
        <f>COUNTIFS('Catálogo RNF'!$B:$B,$A8,'Catálogo RNF'!$O:$O,"NOK")</f>
        <v/>
      </c>
      <c r="E8" s="20">
        <f>COUNTIFS('Catálogo RNF'!$B:$B,$A8,'Catálogo RNF'!$O:$O,"No ejecutado")</f>
        <v/>
      </c>
      <c r="F8" s="20">
        <f>COUNTIFS('Catálogo RNF'!$B:$B,$A8,'Catálogo RNF'!$O:$O,"Bloqueado")</f>
        <v/>
      </c>
      <c r="G8" s="20">
        <f>COUNTIFS('Catálogo RNF'!$B:$B,$A8,'Catálogo RNF'!$O:$O,"N/A")</f>
        <v/>
      </c>
      <c r="H8" s="20">
        <f>COUNTIFS('Catálogo RNF'!$B:$B,$A8,'Catálogo RNF'!$O:$O,"Propuesto")</f>
        <v/>
      </c>
      <c r="I8" s="25">
        <f>SUM(B8:H8)</f>
        <v/>
      </c>
    </row>
    <row r="9">
      <c r="A9" s="17" t="inlineStr">
        <is>
          <t>portabilidad</t>
        </is>
      </c>
      <c r="B9" s="20">
        <f>COUNTIFS('Catálogo RNF'!$B:$B,$A9,'Catálogo RNF'!$O:$O,"OK")</f>
        <v/>
      </c>
      <c r="C9" s="20">
        <f>COUNTIFS('Catálogo RNF'!$B:$B,$A9,'Catálogo RNF'!$O:$O,"Parcial")</f>
        <v/>
      </c>
      <c r="D9" s="20">
        <f>COUNTIFS('Catálogo RNF'!$B:$B,$A9,'Catálogo RNF'!$O:$O,"NOK")</f>
        <v/>
      </c>
      <c r="E9" s="20">
        <f>COUNTIFS('Catálogo RNF'!$B:$B,$A9,'Catálogo RNF'!$O:$O,"No ejecutado")</f>
        <v/>
      </c>
      <c r="F9" s="20">
        <f>COUNTIFS('Catálogo RNF'!$B:$B,$A9,'Catálogo RNF'!$O:$O,"Bloqueado")</f>
        <v/>
      </c>
      <c r="G9" s="20">
        <f>COUNTIFS('Catálogo RNF'!$B:$B,$A9,'Catálogo RNF'!$O:$O,"N/A")</f>
        <v/>
      </c>
      <c r="H9" s="20">
        <f>COUNTIFS('Catálogo RNF'!$B:$B,$A9,'Catálogo RNF'!$O:$O,"Propuesto")</f>
        <v/>
      </c>
      <c r="I9" s="25">
        <f>SUM(B9:H9)</f>
        <v/>
      </c>
    </row>
    <row r="10">
      <c r="A10" s="17" t="inlineStr">
        <is>
          <t>mantenibilidad</t>
        </is>
      </c>
      <c r="B10" s="20">
        <f>COUNTIFS('Catálogo RNF'!$B:$B,$A10,'Catálogo RNF'!$O:$O,"OK")</f>
        <v/>
      </c>
      <c r="C10" s="20">
        <f>COUNTIFS('Catálogo RNF'!$B:$B,$A10,'Catálogo RNF'!$O:$O,"Parcial")</f>
        <v/>
      </c>
      <c r="D10" s="20">
        <f>COUNTIFS('Catálogo RNF'!$B:$B,$A10,'Catálogo RNF'!$O:$O,"NOK")</f>
        <v/>
      </c>
      <c r="E10" s="20">
        <f>COUNTIFS('Catálogo RNF'!$B:$B,$A10,'Catálogo RNF'!$O:$O,"No ejecutado")</f>
        <v/>
      </c>
      <c r="F10" s="20">
        <f>COUNTIFS('Catálogo RNF'!$B:$B,$A10,'Catálogo RNF'!$O:$O,"Bloqueado")</f>
        <v/>
      </c>
      <c r="G10" s="20">
        <f>COUNTIFS('Catálogo RNF'!$B:$B,$A10,'Catálogo RNF'!$O:$O,"N/A")</f>
        <v/>
      </c>
      <c r="H10" s="20">
        <f>COUNTIFS('Catálogo RNF'!$B:$B,$A10,'Catálogo RNF'!$O:$O,"Propuesto")</f>
        <v/>
      </c>
      <c r="I10" s="25">
        <f>SUM(B10:H10)</f>
        <v/>
      </c>
    </row>
    <row r="11">
      <c r="A11" s="17" t="inlineStr">
        <is>
          <t>escalabilidad</t>
        </is>
      </c>
      <c r="B11" s="20">
        <f>COUNTIFS('Catálogo RNF'!$B:$B,$A11,'Catálogo RNF'!$O:$O,"OK")</f>
        <v/>
      </c>
      <c r="C11" s="20">
        <f>COUNTIFS('Catálogo RNF'!$B:$B,$A11,'Catálogo RNF'!$O:$O,"Parcial")</f>
        <v/>
      </c>
      <c r="D11" s="20">
        <f>COUNTIFS('Catálogo RNF'!$B:$B,$A11,'Catálogo RNF'!$O:$O,"NOK")</f>
        <v/>
      </c>
      <c r="E11" s="20">
        <f>COUNTIFS('Catálogo RNF'!$B:$B,$A11,'Catálogo RNF'!$O:$O,"No ejecutado")</f>
        <v/>
      </c>
      <c r="F11" s="20">
        <f>COUNTIFS('Catálogo RNF'!$B:$B,$A11,'Catálogo RNF'!$O:$O,"Bloqueado")</f>
        <v/>
      </c>
      <c r="G11" s="20">
        <f>COUNTIFS('Catálogo RNF'!$B:$B,$A11,'Catálogo RNF'!$O:$O,"N/A")</f>
        <v/>
      </c>
      <c r="H11" s="20">
        <f>COUNTIFS('Catálogo RNF'!$B:$B,$A11,'Catálogo RNF'!$O:$O,"Propuesto")</f>
        <v/>
      </c>
      <c r="I11" s="25">
        <f>SUM(B11:H11)</f>
        <v/>
      </c>
    </row>
    <row r="12">
      <c r="A12" s="17" t="inlineStr">
        <is>
          <t>cumplimiento</t>
        </is>
      </c>
      <c r="B12" s="20">
        <f>COUNTIFS('Catálogo RNF'!$B:$B,$A12,'Catálogo RNF'!$O:$O,"OK")</f>
        <v/>
      </c>
      <c r="C12" s="20">
        <f>COUNTIFS('Catálogo RNF'!$B:$B,$A12,'Catálogo RNF'!$O:$O,"Parcial")</f>
        <v/>
      </c>
      <c r="D12" s="20">
        <f>COUNTIFS('Catálogo RNF'!$B:$B,$A12,'Catálogo RNF'!$O:$O,"NOK")</f>
        <v/>
      </c>
      <c r="E12" s="20">
        <f>COUNTIFS('Catálogo RNF'!$B:$B,$A12,'Catálogo RNF'!$O:$O,"No ejecutado")</f>
        <v/>
      </c>
      <c r="F12" s="20">
        <f>COUNTIFS('Catálogo RNF'!$B:$B,$A12,'Catálogo RNF'!$O:$O,"Bloqueado")</f>
        <v/>
      </c>
      <c r="G12" s="20">
        <f>COUNTIFS('Catálogo RNF'!$B:$B,$A12,'Catálogo RNF'!$O:$O,"N/A")</f>
        <v/>
      </c>
      <c r="H12" s="20">
        <f>COUNTIFS('Catálogo RNF'!$B:$B,$A12,'Catálogo RNF'!$O:$O,"Propuesto")</f>
        <v/>
      </c>
      <c r="I12" s="25">
        <f>SUM(B12:H12)</f>
        <v/>
      </c>
    </row>
    <row r="13">
      <c r="A13" s="17" t="inlineStr">
        <is>
          <t>operacion</t>
        </is>
      </c>
      <c r="B13" s="20">
        <f>COUNTIFS('Catálogo RNF'!$B:$B,$A13,'Catálogo RNF'!$O:$O,"OK")</f>
        <v/>
      </c>
      <c r="C13" s="20">
        <f>COUNTIFS('Catálogo RNF'!$B:$B,$A13,'Catálogo RNF'!$O:$O,"Parcial")</f>
        <v/>
      </c>
      <c r="D13" s="20">
        <f>COUNTIFS('Catálogo RNF'!$B:$B,$A13,'Catálogo RNF'!$O:$O,"NOK")</f>
        <v/>
      </c>
      <c r="E13" s="20">
        <f>COUNTIFS('Catálogo RNF'!$B:$B,$A13,'Catálogo RNF'!$O:$O,"No ejecutado")</f>
        <v/>
      </c>
      <c r="F13" s="20">
        <f>COUNTIFS('Catálogo RNF'!$B:$B,$A13,'Catálogo RNF'!$O:$O,"Bloqueado")</f>
        <v/>
      </c>
      <c r="G13" s="20">
        <f>COUNTIFS('Catálogo RNF'!$B:$B,$A13,'Catálogo RNF'!$O:$O,"N/A")</f>
        <v/>
      </c>
      <c r="H13" s="20">
        <f>COUNTIFS('Catálogo RNF'!$B:$B,$A13,'Catálogo RNF'!$O:$O,"Propuesto")</f>
        <v/>
      </c>
      <c r="I13" s="25">
        <f>SUM(B13:H13)</f>
        <v/>
      </c>
    </row>
    <row r="14">
      <c r="A14" s="22" t="inlineStr">
        <is>
          <t>Total</t>
        </is>
      </c>
      <c r="B14" s="29">
        <f>SUM(B5:B13)</f>
        <v/>
      </c>
      <c r="C14" s="29">
        <f>SUM(C5:C13)</f>
        <v/>
      </c>
      <c r="D14" s="29">
        <f>SUM(D5:D13)</f>
        <v/>
      </c>
      <c r="E14" s="29">
        <f>SUM(E5:E13)</f>
        <v/>
      </c>
      <c r="F14" s="29">
        <f>SUM(F5:F13)</f>
        <v/>
      </c>
      <c r="G14" s="29">
        <f>SUM(G5:G13)</f>
        <v/>
      </c>
      <c r="H14" s="29">
        <f>SUM(H5:H13)</f>
        <v/>
      </c>
      <c r="I14" s="29">
        <f>SUM(I5:I13)</f>
        <v/>
      </c>
    </row>
    <row r="16">
      <c r="A16" s="30" t="inlineStr">
        <is>
          <t>RNF Must (incl. plataforma)</t>
        </is>
      </c>
      <c r="B16" s="31">
        <f>COUNTIF('Catálogo RNF'!$I:$I,"Must*")</f>
        <v/>
      </c>
    </row>
    <row r="17">
      <c r="A17" s="30" t="inlineStr">
        <is>
          <t>Must verificados OK</t>
        </is>
      </c>
      <c r="B17" s="31">
        <f>COUNTIFS('Catálogo RNF'!$I:$I,"Must*",'Catálogo RNF'!$O:$O,"OK")</f>
        <v/>
      </c>
    </row>
    <row r="18">
      <c r="A18" s="30" t="inlineStr">
        <is>
          <t>% Must OK</t>
        </is>
      </c>
      <c r="B18" s="32">
        <f>IFERROR(B17/B16,0)</f>
        <v/>
      </c>
    </row>
    <row r="19">
      <c r="A19" s="30" t="inlineStr">
        <is>
          <t>Must bloqueados (solo QA, línea 2.0)</t>
        </is>
      </c>
      <c r="B19" s="31">
        <f>COUNTIFS('Catálogo RNF'!$I:$I,"Must*",'Catálogo RNF'!$O:$O,"Bloqueado")</f>
        <v/>
      </c>
    </row>
    <row r="20">
      <c r="A20" s="30" t="inlineStr">
        <is>
          <t>% total OK</t>
        </is>
      </c>
      <c r="B20" s="32">
        <f>IFERROR(COUNTIF('Catálogo RNF'!$O:$O,"OK")/COUNTA('Catálogo RNF'!$A$5:$A$200),0)</f>
        <v/>
      </c>
    </row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A1:I1"/>
    <mergeCell ref="A2:I2"/>
  </mergeCells>
  <printOptions horizontalCentered="1"/>
  <pageMargins left="0.75" right="0.75" top="1" bottom="1" header="0" footer="0"/>
  <pageSetup orientation="landscape" fitToHeight="0"/>
  <headerFooter>
    <oddHeader/>
    <oddFooter>&amp;CD-PAY 3.0 · Catálogo RNF · Página &amp;P de 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33" min="1" max="4"/>
    <col width="8.710000000000001" customWidth="1" style="33" min="5" max="26"/>
  </cols>
  <sheetData>
    <row r="1">
      <c r="A1" s="22" t="inlineStr">
        <is>
          <t>Tipo</t>
        </is>
      </c>
      <c r="B1" s="22" t="inlineStr">
        <is>
          <t>MoSCoW</t>
        </is>
      </c>
      <c r="C1" s="22" t="inlineStr">
        <is>
          <t>Alcance</t>
        </is>
      </c>
      <c r="D1" s="22" t="inlineStr">
        <is>
          <t>Estado</t>
        </is>
      </c>
    </row>
    <row r="2">
      <c r="A2" s="28" t="inlineStr">
        <is>
          <t>rendimiento</t>
        </is>
      </c>
      <c r="B2" s="28" t="inlineStr">
        <is>
          <t>Must</t>
        </is>
      </c>
      <c r="C2" s="28" t="inlineStr">
        <is>
          <t>Ambos</t>
        </is>
      </c>
      <c r="D2" s="28" t="inlineStr">
        <is>
          <t>OK</t>
        </is>
      </c>
    </row>
    <row r="3">
      <c r="A3" s="28" t="inlineStr">
        <is>
          <t>seguridad</t>
        </is>
      </c>
      <c r="B3" s="28" t="inlineStr">
        <is>
          <t>Must (plataforma)</t>
        </is>
      </c>
      <c r="C3" s="28" t="inlineStr">
        <is>
          <t>D-PAY 2.0 Kozen</t>
        </is>
      </c>
      <c r="D3" s="28" t="inlineStr">
        <is>
          <t>Parcial</t>
        </is>
      </c>
    </row>
    <row r="4">
      <c r="A4" s="28" t="inlineStr">
        <is>
          <t>disponibilidad</t>
        </is>
      </c>
      <c r="B4" s="28" t="inlineStr">
        <is>
          <t>Should</t>
        </is>
      </c>
      <c r="C4" s="28" t="inlineStr">
        <is>
          <t>D-PAY 3.0 Capstone</t>
        </is>
      </c>
      <c r="D4" s="28" t="inlineStr">
        <is>
          <t>NOK</t>
        </is>
      </c>
    </row>
    <row r="5">
      <c r="A5" s="28" t="inlineStr">
        <is>
          <t>usabilidad</t>
        </is>
      </c>
      <c r="B5" s="28" t="inlineStr">
        <is>
          <t>Could</t>
        </is>
      </c>
      <c r="C5" s="28" t="inlineStr">
        <is>
          <t>Plataforma DTemite</t>
        </is>
      </c>
      <c r="D5" s="28" t="inlineStr">
        <is>
          <t>No ejecutado</t>
        </is>
      </c>
    </row>
    <row r="6">
      <c r="A6" s="28" t="inlineStr">
        <is>
          <t>portabilidad</t>
        </is>
      </c>
      <c r="B6" s="28" t="inlineStr">
        <is>
          <t>Won't</t>
        </is>
      </c>
      <c r="D6" s="28" t="inlineStr">
        <is>
          <t>Bloqueado</t>
        </is>
      </c>
    </row>
    <row r="7">
      <c r="A7" s="28" t="inlineStr">
        <is>
          <t>mantenibilidad</t>
        </is>
      </c>
      <c r="D7" s="28" t="inlineStr">
        <is>
          <t>N/A</t>
        </is>
      </c>
    </row>
    <row r="8">
      <c r="A8" s="28" t="inlineStr">
        <is>
          <t>escalabilidad</t>
        </is>
      </c>
      <c r="D8" s="28" t="inlineStr">
        <is>
          <t>Propuesto</t>
        </is>
      </c>
    </row>
    <row r="9">
      <c r="A9" s="28" t="inlineStr">
        <is>
          <t>cumplimiento</t>
        </is>
      </c>
    </row>
    <row r="10">
      <c r="A10" s="28" t="inlineStr">
        <is>
          <t>operacion</t>
        </is>
      </c>
    </row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2026-10-12T14:00:24Z</dcterms:created>
  <dcterms:modified xmlns:dcterms="http://purl.org/dc/terms/" xmlns:xsi="http://www.w3.org/2001/XMLSchema-instance" xsi:type="dcterms:W3CDTF">2026-10-16T20:57:41Z</dcterms:modified>
</cp:coreProperties>
</file>